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filterPrivacy="1" codeName="ThisWorkbook" defaultThemeVersion="124226"/>
  <xr:revisionPtr revIDLastSave="0" documentId="13_ncr:1_{D1A04194-BBF0-4AED-BB8F-901EEF3BCA7E}" xr6:coauthVersionLast="45" xr6:coauthVersionMax="45" xr10:uidLastSave="{00000000-0000-0000-0000-000000000000}"/>
  <bookViews>
    <workbookView xWindow="2790" yWindow="1320" windowWidth="28725" windowHeight="19680" activeTab="5" xr2:uid="{00000000-000D-0000-FFFF-FFFF00000000}"/>
  </bookViews>
  <sheets>
    <sheet name="summary" sheetId="5" r:id="rId1"/>
    <sheet name="City" sheetId="1" r:id="rId2"/>
    <sheet name="DSM" sheetId="2" r:id="rId3"/>
    <sheet name="POS" sheetId="16" r:id="rId4"/>
    <sheet name="SA" sheetId="14" r:id="rId5"/>
    <sheet name="RA" sheetId="17" r:id="rId6"/>
  </sheets>
  <functionGroups builtInGroupCount="19"/>
  <externalReferences>
    <externalReference r:id="rId7"/>
  </externalReferences>
  <definedNames>
    <definedName name="_xlnm._FilterDatabase" localSheetId="1" hidden="1">City!$A$1:$M$1</definedName>
    <definedName name="_xlnm._FilterDatabase" localSheetId="2" hidden="1">DSM!$A$1:$S$1</definedName>
    <definedName name="_xlnm._FilterDatabase" localSheetId="5" hidden="1">RA!$A$2:$O$2</definedName>
    <definedName name="_xlnm._FilterDatabase" localSheetId="4" hidden="1">SA!$A$2:$O$2</definedName>
    <definedName name="XDO_?XDOFIELD105?">#REF!</definedName>
    <definedName name="XDO_?XDOFIELD106?">#REF!</definedName>
    <definedName name="XDO_?XDOFIELD107?">#REF!</definedName>
    <definedName name="XDO_?XDOFIELD108?">#REF!</definedName>
    <definedName name="XDO_?XDOFIELD121?">#REF!</definedName>
    <definedName name="XDO_?XDOFIELD122?">#REF!</definedName>
    <definedName name="XDO_?XDOFIELD123?">#REF!</definedName>
    <definedName name="XDO_?XDOFIELD124?">#REF!</definedName>
    <definedName name="XDO_?XDOFIELD125?">#REF!</definedName>
    <definedName name="XDO_?XDOFIELD126?">#REF!</definedName>
    <definedName name="XDO_?XDOFIELD127?">#REF!</definedName>
    <definedName name="XDO_?XDOFIELD128?">#REF!</definedName>
    <definedName name="XDO_?XDOFIELD129?">#REF!</definedName>
    <definedName name="XDO_?XDOFIELD13?">#REF!</definedName>
    <definedName name="XDO_?XDOFIELD130?">#REF!</definedName>
    <definedName name="XDO_?XDOFIELD131?">#REF!</definedName>
    <definedName name="XDO_?XDOFIELD132?">#REF!</definedName>
    <definedName name="XDO_?XDOFIELD133?">#REF!</definedName>
    <definedName name="XDO_?XDOFIELD134?">#REF!</definedName>
    <definedName name="XDO_?XDOFIELD135?">#REF!</definedName>
    <definedName name="XDO_?XDOFIELD136?">#REF!</definedName>
    <definedName name="XDO_?XDOFIELD137?">#REF!</definedName>
    <definedName name="XDO_?XDOFIELD138?">#REF!</definedName>
    <definedName name="XDO_?XDOFIELD139?">#REF!</definedName>
    <definedName name="XDO_?XDOFIELD140?">#REF!</definedName>
    <definedName name="XDO_?XDOFIELD141?">#REF!</definedName>
    <definedName name="XDO_?XDOFIELD142?">#REF!</definedName>
    <definedName name="XDO_?XDOFIELD143?">#REF!</definedName>
    <definedName name="XDO_?XDOFIELD144?">#REF!</definedName>
    <definedName name="XDO_?XDOFIELD210?">#REF!</definedName>
    <definedName name="XDO_?XDOFIELD211?">#REF!</definedName>
    <definedName name="XDO_?XDOFIELD212?">#REF!</definedName>
    <definedName name="XDO_?XDOFIELD213?">#REF!</definedName>
    <definedName name="XDO_?XDOFIELD214?">#REF!</definedName>
    <definedName name="XDO_?XDOFIELD216?">#REF!</definedName>
    <definedName name="XDO_?XDOFIELD22?">#REF!</definedName>
    <definedName name="XDO_?XDOFIELD222?">[1]Overview!#REF!</definedName>
    <definedName name="XDO_?XDOFIELD223?">#REF!</definedName>
    <definedName name="XDO_?XDOFIELD224?">#REF!</definedName>
    <definedName name="XDO_?XDOFIELD225?">#REF!</definedName>
    <definedName name="XDO_?XDOFIELD226?">#REF!</definedName>
    <definedName name="XDO_?XDOFIELD227?">#REF!</definedName>
    <definedName name="XDO_?XDOFIELD228?">#REF!</definedName>
    <definedName name="XDO_?XDOFIELD229?">#REF!</definedName>
    <definedName name="XDO_?XDOFIELD23?">#REF!</definedName>
    <definedName name="XDO_?XDOFIELD230?">#REF!</definedName>
    <definedName name="XDO_?XDOFIELD231?">#REF!</definedName>
    <definedName name="XDO_?XDOFIELD232?">#REF!</definedName>
    <definedName name="XDO_?XDOFIELD233?">#REF!</definedName>
    <definedName name="XDO_?XDOFIELD234?">#REF!</definedName>
    <definedName name="XDO_?XDOFIELD235?">#REF!</definedName>
    <definedName name="XDO_?XDOFIELD236?">#REF!</definedName>
    <definedName name="XDO_?XDOFIELD237?">[1]SA!#REF!</definedName>
    <definedName name="XDO_?XDOFIELD24?">#REF!</definedName>
    <definedName name="XDO_?XDOFIELD25?">#REF!</definedName>
    <definedName name="XDO_?XDOFIELD26?">#REF!</definedName>
    <definedName name="XDO_?XDOFIELD27?">#REF!</definedName>
    <definedName name="XDO_?XDOFIELD28?">#REF!</definedName>
    <definedName name="XDO_?XDOFIELD29?">#REF!</definedName>
    <definedName name="XDO_?XDOFIELD30?">#REF!</definedName>
    <definedName name="XDO_?XDOFIELD31?">#REF!</definedName>
    <definedName name="XDO_?XDOFIELD32?">#REF!</definedName>
    <definedName name="XDO_?XDOFIELD33?">#REF!</definedName>
    <definedName name="XDO_?XDOFIELD36?">#REF!</definedName>
    <definedName name="XDO_?XDOFIELD37?">#REF!</definedName>
    <definedName name="XDO_?XDOFIELD40?">#REF!</definedName>
    <definedName name="XDO_?XDOFIELD41?">#REF!</definedName>
    <definedName name="XDO_?XDOFIELD44?">#REF!</definedName>
    <definedName name="XDO_?XDOFIELD45?">#REF!</definedName>
    <definedName name="XDO_?XDOFIELD48?">#REF!</definedName>
    <definedName name="XDO_?XDOFIELD49?">#REF!</definedName>
    <definedName name="XDO_?XDOFIELD51?">#REF!</definedName>
    <definedName name="XDO_?XDOFIELD52?">#REF!</definedName>
    <definedName name="XDO_?XDOFIELD53?">#REF!</definedName>
    <definedName name="XDO_?XDOFIELD54?">#REF!</definedName>
    <definedName name="XDO_?XDOFIELD55?">#REF!</definedName>
    <definedName name="XDO_?XDOFIELD56?">#REF!</definedName>
    <definedName name="XDO_?XDOFIELD57?">#REF!</definedName>
    <definedName name="XDO_?XDOFIELD58?">#REF!</definedName>
    <definedName name="XDO_?XDOFIELD59?">#REF!</definedName>
    <definedName name="XDO_?XDOFIELD60?">#REF!</definedName>
    <definedName name="XDO_?XDOFIELD61?">#REF!</definedName>
    <definedName name="XDO_?XDOFIELD62?">#REF!</definedName>
    <definedName name="XDO_?XDOFIELD63?">#REF!</definedName>
    <definedName name="XDO_?XDOFIELD64?">#REF!</definedName>
    <definedName name="XDO_?XDOFIELD67?">#REF!</definedName>
    <definedName name="XDO_?XDOFIELD68?">#REF!</definedName>
    <definedName name="XDO_?XDOFIELD71?">#REF!</definedName>
    <definedName name="XDO_?XDOFIELD72?">#REF!</definedName>
    <definedName name="XDO_?XDOFIELD75?">#REF!</definedName>
    <definedName name="XDO_?XDOFIELD76?">#REF!</definedName>
    <definedName name="XDO_?XDOFIELD79?">#REF!</definedName>
    <definedName name="XDO_?XDOFIELD80?">#REF!</definedName>
    <definedName name="XDO_?XDOFIELD81?">#REF!</definedName>
    <definedName name="XDO_?XDOFIELD82?">#REF!</definedName>
    <definedName name="XDO_?XDOFIELD83?">#REF!</definedName>
    <definedName name="XDO_?XDOFIELD84?">#REF!</definedName>
    <definedName name="XDO_GROUP_?XDOG2?">#REF!</definedName>
    <definedName name="XDO_GROUP_?XDOG3?">#REF!</definedName>
  </definedNames>
  <calcPr calcId="181029"/>
</workbook>
</file>

<file path=xl/calcChain.xml><?xml version="1.0" encoding="utf-8"?>
<calcChain xmlns="http://schemas.openxmlformats.org/spreadsheetml/2006/main">
  <c r="Q13" i="5" l="1"/>
  <c r="Q14" i="5"/>
  <c r="Q15" i="5"/>
  <c r="Q16" i="5"/>
  <c r="Q12" i="5"/>
  <c r="O13" i="5"/>
  <c r="O14" i="5"/>
  <c r="O15" i="5"/>
  <c r="O16" i="5"/>
  <c r="O12" i="5"/>
  <c r="N13" i="5"/>
  <c r="N14" i="5"/>
  <c r="N15" i="5"/>
  <c r="N16" i="5"/>
  <c r="N12" i="5"/>
  <c r="M13" i="5"/>
  <c r="M14" i="5"/>
  <c r="M15" i="5"/>
  <c r="M16" i="5"/>
  <c r="M12" i="5"/>
  <c r="L13" i="5"/>
  <c r="L14" i="5"/>
  <c r="L15" i="5"/>
  <c r="L16" i="5"/>
  <c r="L12" i="5"/>
  <c r="J13" i="5"/>
  <c r="J14" i="5"/>
  <c r="J15" i="5"/>
  <c r="J16" i="5"/>
  <c r="J12" i="5"/>
  <c r="I13" i="5"/>
  <c r="I14" i="5"/>
  <c r="I15" i="5"/>
  <c r="I16" i="5"/>
  <c r="I12" i="5"/>
  <c r="H13" i="5"/>
  <c r="H14" i="5"/>
  <c r="H15" i="5"/>
  <c r="H16" i="5"/>
  <c r="H12" i="5"/>
  <c r="G13" i="5"/>
  <c r="G14" i="5"/>
  <c r="G15" i="5"/>
  <c r="G16" i="5"/>
  <c r="G12" i="5"/>
  <c r="E13" i="5"/>
  <c r="E14" i="5"/>
  <c r="E15" i="5"/>
  <c r="E16" i="5"/>
  <c r="E12" i="5"/>
  <c r="D13" i="5"/>
  <c r="D14" i="5"/>
  <c r="D15" i="5"/>
  <c r="D16" i="5"/>
  <c r="D12" i="5"/>
  <c r="C13" i="5"/>
  <c r="C14" i="5"/>
  <c r="C15" i="5"/>
  <c r="C16" i="5"/>
  <c r="C12" i="5"/>
  <c r="M4" i="5"/>
  <c r="M5" i="5"/>
  <c r="M6" i="5"/>
  <c r="M7" i="5"/>
  <c r="M3" i="5"/>
  <c r="L4" i="5"/>
  <c r="L5" i="5"/>
  <c r="L6" i="5"/>
  <c r="L7" i="5"/>
  <c r="L3" i="5"/>
  <c r="K4" i="5"/>
  <c r="K5" i="5"/>
  <c r="K6" i="5"/>
  <c r="K7" i="5"/>
  <c r="K3" i="5"/>
  <c r="I4" i="5"/>
  <c r="I5" i="5"/>
  <c r="I6" i="5"/>
  <c r="I7" i="5"/>
  <c r="I3" i="5"/>
  <c r="H4" i="5"/>
  <c r="H5" i="5"/>
  <c r="H6" i="5"/>
  <c r="H7" i="5"/>
  <c r="H3" i="5"/>
  <c r="G4" i="5"/>
  <c r="G5" i="5"/>
  <c r="G6" i="5"/>
  <c r="G7" i="5"/>
  <c r="G3" i="5"/>
  <c r="E4" i="5"/>
  <c r="E5" i="5"/>
  <c r="E6" i="5"/>
  <c r="E7" i="5"/>
  <c r="E3" i="5"/>
  <c r="D4" i="5"/>
  <c r="D5" i="5"/>
  <c r="D6" i="5"/>
  <c r="D7" i="5"/>
  <c r="D3" i="5"/>
  <c r="C4" i="5"/>
  <c r="C5" i="5"/>
  <c r="C6" i="5"/>
  <c r="C7" i="5"/>
  <c r="C3" i="5"/>
  <c r="B21" i="5" l="1"/>
  <c r="B22" i="5"/>
  <c r="B20" i="5"/>
  <c r="B23" i="5"/>
  <c r="B25" i="5"/>
  <c r="B24" i="5"/>
</calcChain>
</file>

<file path=xl/sharedStrings.xml><?xml version="1.0" encoding="utf-8"?>
<sst xmlns="http://schemas.openxmlformats.org/spreadsheetml/2006/main" count="173" uniqueCount="95">
  <si>
    <t>Province
省份</t>
  </si>
  <si>
    <t>City
城市</t>
  </si>
  <si>
    <t xml:space="preserve"># POS (ever binding)
本月绑定过的POS数量
</t>
  </si>
  <si>
    <t>FSTQPD 30
前四期还款逾期30天比例</t>
  </si>
  <si>
    <t>FPD30
首期还款逾期30天比例</t>
  </si>
  <si>
    <t>SPD30
第二期还款逾期30天比例</t>
  </si>
  <si>
    <t>TPD30
第三期还款逾期30天比例</t>
  </si>
  <si>
    <t>QPD30
第四期还款逾期30天比例</t>
  </si>
  <si>
    <t>城市还款率倒数排名：</t>
    <phoneticPr fontId="3" type="noConversion"/>
  </si>
  <si>
    <t>No.</t>
  </si>
  <si>
    <t>City</t>
  </si>
  <si>
    <t>FPD 30 Rate</t>
    <phoneticPr fontId="3" type="noConversion"/>
  </si>
  <si>
    <t>SPD 30 Rate</t>
    <phoneticPr fontId="3" type="noConversion"/>
  </si>
  <si>
    <t>TPD 30 Rate</t>
    <phoneticPr fontId="3" type="noConversion"/>
  </si>
  <si>
    <t>销售经理还款率倒数排名：</t>
    <phoneticPr fontId="3" type="noConversion"/>
  </si>
  <si>
    <t>DSM</t>
  </si>
  <si>
    <t>风险提示</t>
  </si>
  <si>
    <t>工作建议</t>
  </si>
  <si>
    <r>
      <t>·</t>
    </r>
    <r>
      <rPr>
        <sz val="10"/>
        <color rgb="FF000000"/>
        <rFont val="Times New Roman"/>
        <family val="1"/>
      </rPr>
      <t xml:space="preserve">         </t>
    </r>
    <r>
      <rPr>
        <sz val="10"/>
        <color rgb="FF000000"/>
        <rFont val="宋体"/>
        <family val="3"/>
        <charset val="134"/>
      </rPr>
      <t>更有针对性的与</t>
    </r>
    <r>
      <rPr>
        <sz val="10"/>
        <color rgb="FF000000"/>
        <rFont val="Cambria"/>
        <family val="1"/>
      </rPr>
      <t>DSM</t>
    </r>
    <r>
      <rPr>
        <sz val="10"/>
        <color rgb="FF000000"/>
        <rFont val="宋体"/>
        <family val="3"/>
        <charset val="134"/>
      </rPr>
      <t>作风险沟通；</t>
    </r>
  </si>
  <si>
    <r>
      <t>·</t>
    </r>
    <r>
      <rPr>
        <sz val="10"/>
        <color rgb="FF000000"/>
        <rFont val="Times New Roman"/>
        <family val="1"/>
      </rPr>
      <t xml:space="preserve">         </t>
    </r>
    <r>
      <rPr>
        <sz val="10"/>
        <color rgb="FF000000"/>
        <rFont val="宋体"/>
        <family val="3"/>
        <charset val="134"/>
      </rPr>
      <t>针对</t>
    </r>
    <r>
      <rPr>
        <sz val="10"/>
        <color rgb="FF000000"/>
        <rFont val="Cambria"/>
        <family val="1"/>
      </rPr>
      <t>POS</t>
    </r>
    <r>
      <rPr>
        <sz val="10"/>
        <color rgb="FF000000"/>
        <rFont val="宋体"/>
        <family val="3"/>
        <charset val="134"/>
      </rPr>
      <t>、</t>
    </r>
    <r>
      <rPr>
        <sz val="10"/>
        <color rgb="FF000000"/>
        <rFont val="Cambria"/>
        <family val="1"/>
      </rPr>
      <t>SA</t>
    </r>
    <r>
      <rPr>
        <sz val="10"/>
        <color rgb="FF000000"/>
        <rFont val="宋体"/>
        <family val="3"/>
        <charset val="134"/>
      </rPr>
      <t>、</t>
    </r>
    <r>
      <rPr>
        <sz val="10"/>
        <color rgb="FF000000"/>
        <rFont val="Cambria"/>
        <family val="1"/>
      </rPr>
      <t>RA</t>
    </r>
    <r>
      <rPr>
        <sz val="10"/>
        <color rgb="FF000000"/>
        <rFont val="宋体"/>
        <family val="3"/>
        <charset val="134"/>
      </rPr>
      <t>增加日常巡查；</t>
    </r>
  </si>
  <si>
    <r>
      <t>·</t>
    </r>
    <r>
      <rPr>
        <sz val="10"/>
        <color rgb="FF000000"/>
        <rFont val="Times New Roman"/>
        <family val="1"/>
      </rPr>
      <t xml:space="preserve">         </t>
    </r>
    <r>
      <rPr>
        <sz val="10"/>
        <color rgb="FF000000"/>
        <rFont val="宋体"/>
        <family val="3"/>
        <charset val="134"/>
      </rPr>
      <t>加强与</t>
    </r>
    <r>
      <rPr>
        <sz val="10"/>
        <color rgb="FF000000"/>
        <rFont val="Cambria"/>
        <family val="1"/>
      </rPr>
      <t>POS</t>
    </r>
    <r>
      <rPr>
        <sz val="10"/>
        <color rgb="FF000000"/>
        <rFont val="宋体"/>
        <family val="3"/>
        <charset val="134"/>
      </rPr>
      <t>、</t>
    </r>
    <r>
      <rPr>
        <sz val="10"/>
        <color rgb="FF000000"/>
        <rFont val="Cambria"/>
        <family val="1"/>
      </rPr>
      <t>SA</t>
    </r>
    <r>
      <rPr>
        <sz val="10"/>
        <color rgb="FF000000"/>
        <rFont val="宋体"/>
        <family val="3"/>
        <charset val="134"/>
      </rPr>
      <t>、</t>
    </r>
    <r>
      <rPr>
        <sz val="10"/>
        <color rgb="FF000000"/>
        <rFont val="Cambria"/>
        <family val="1"/>
      </rPr>
      <t>RA</t>
    </r>
    <r>
      <rPr>
        <sz val="10"/>
        <color rgb="FF000000"/>
        <rFont val="宋体"/>
        <family val="3"/>
        <charset val="134"/>
      </rPr>
      <t>的沟通以达到提高风控意识；</t>
    </r>
  </si>
  <si>
    <r>
      <t>·</t>
    </r>
    <r>
      <rPr>
        <sz val="10"/>
        <color rgb="FF000000"/>
        <rFont val="Times New Roman"/>
        <family val="1"/>
      </rPr>
      <t xml:space="preserve">         </t>
    </r>
    <r>
      <rPr>
        <sz val="10"/>
        <color rgb="FF000000"/>
        <rFont val="宋体"/>
        <family val="3"/>
        <charset val="134"/>
      </rPr>
      <t>了解还款率逾期原因，如：还款途径、</t>
    </r>
    <r>
      <rPr>
        <sz val="10"/>
        <color rgb="FF000000"/>
        <rFont val="Cambria"/>
        <family val="1"/>
      </rPr>
      <t>SA/RA</t>
    </r>
    <r>
      <rPr>
        <sz val="10"/>
        <color rgb="FF000000"/>
        <rFont val="宋体"/>
        <family val="3"/>
        <charset val="134"/>
      </rPr>
      <t>违规操作、套现中介，有针对性的展开调查；</t>
    </r>
  </si>
  <si>
    <r>
      <t>·</t>
    </r>
    <r>
      <rPr>
        <sz val="10"/>
        <color rgb="FF000000"/>
        <rFont val="Times New Roman"/>
        <family val="1"/>
      </rPr>
      <t xml:space="preserve">         </t>
    </r>
    <r>
      <rPr>
        <sz val="10"/>
        <color rgb="FF000000"/>
        <rFont val="宋体"/>
        <family val="3"/>
        <charset val="134"/>
      </rPr>
      <t>针对还款指标超标给予销售工作建议。</t>
    </r>
  </si>
  <si>
    <t>注：</t>
  </si>
  <si>
    <t>FPD 10 Rate</t>
    <phoneticPr fontId="3" type="noConversion"/>
  </si>
  <si>
    <t>FPD 30 Rate</t>
    <phoneticPr fontId="3" type="noConversion"/>
  </si>
  <si>
    <t>SPD 30 Rate</t>
    <phoneticPr fontId="3" type="noConversion"/>
  </si>
  <si>
    <r>
      <t xml:space="preserve">Province
</t>
    </r>
    <r>
      <rPr>
        <sz val="10"/>
        <color indexed="8"/>
        <rFont val="宋体"/>
        <family val="3"/>
        <charset val="134"/>
      </rPr>
      <t>省份</t>
    </r>
    <phoneticPr fontId="3" type="noConversion"/>
  </si>
  <si>
    <t>Province</t>
  </si>
  <si>
    <t>Benchmark</t>
    <phoneticPr fontId="3" type="noConversion"/>
  </si>
  <si>
    <t>报告将在每周五发出；</t>
    <phoneticPr fontId="3" type="noConversion"/>
  </si>
  <si>
    <t>请详细阅读此报告，可将您的宝贵意见反馈予我；</t>
    <phoneticPr fontId="3" type="noConversion"/>
  </si>
  <si>
    <t>此报告涉及保密内容，严禁对内、外部转发。</t>
    <phoneticPr fontId="3" type="noConversion"/>
  </si>
  <si>
    <t>FPD 30</t>
  </si>
  <si>
    <t>SPD 30</t>
  </si>
  <si>
    <t>TPD 30</t>
  </si>
  <si>
    <t>QPD 30</t>
  </si>
  <si>
    <t>Defaults#
逾期合同数</t>
  </si>
  <si>
    <t>Contracts#
总合同数</t>
  </si>
  <si>
    <t>FPD 10</t>
  </si>
  <si>
    <t>您可透过附件’Risk Performance Weekly Report’ 获取“还款率差的SA、RA”名单；</t>
    <phoneticPr fontId="3" type="noConversion"/>
  </si>
  <si>
    <r>
      <t xml:space="preserve">DSM Name&amp;Code
DSM </t>
    </r>
    <r>
      <rPr>
        <sz val="10"/>
        <color indexed="8"/>
        <rFont val="宋体"/>
        <family val="3"/>
        <charset val="134"/>
      </rPr>
      <t>姓名</t>
    </r>
    <r>
      <rPr>
        <sz val="10"/>
        <color indexed="8"/>
        <rFont val="Calibri"/>
        <family val="2"/>
      </rPr>
      <t>&amp;</t>
    </r>
    <r>
      <rPr>
        <sz val="10"/>
        <color indexed="8"/>
        <rFont val="宋体"/>
        <family val="3"/>
        <charset val="134"/>
      </rPr>
      <t>代码</t>
    </r>
    <phoneticPr fontId="3" type="noConversion"/>
  </si>
  <si>
    <r>
      <t xml:space="preserve">DSM Name&amp;Code
DSM </t>
    </r>
    <r>
      <rPr>
        <sz val="10"/>
        <color indexed="8"/>
        <rFont val="宋体"/>
        <family val="3"/>
        <charset val="134"/>
      </rPr>
      <t>姓名</t>
    </r>
    <r>
      <rPr>
        <sz val="10"/>
        <color indexed="8"/>
        <rFont val="Calibri"/>
        <family val="2"/>
      </rPr>
      <t>&amp;</t>
    </r>
    <r>
      <rPr>
        <sz val="10"/>
        <color indexed="8"/>
        <rFont val="宋体"/>
        <family val="3"/>
        <charset val="134"/>
      </rPr>
      <t>代码</t>
    </r>
    <phoneticPr fontId="3" type="noConversion"/>
  </si>
  <si>
    <r>
      <t xml:space="preserve">SA Name&amp;Code
SA </t>
    </r>
    <r>
      <rPr>
        <sz val="10"/>
        <color indexed="8"/>
        <rFont val="宋体"/>
        <family val="3"/>
        <charset val="134"/>
      </rPr>
      <t>姓名</t>
    </r>
    <r>
      <rPr>
        <sz val="10"/>
        <color indexed="8"/>
        <rFont val="Calibri"/>
        <family val="2"/>
      </rPr>
      <t>&amp;</t>
    </r>
    <r>
      <rPr>
        <sz val="10"/>
        <color indexed="8"/>
        <rFont val="宋体"/>
        <family val="3"/>
        <charset val="134"/>
      </rPr>
      <t>代码</t>
    </r>
    <phoneticPr fontId="3" type="noConversion"/>
  </si>
  <si>
    <r>
      <t xml:space="preserve">Province
</t>
    </r>
    <r>
      <rPr>
        <sz val="10"/>
        <color indexed="8"/>
        <rFont val="宋体"/>
        <family val="3"/>
        <charset val="134"/>
      </rPr>
      <t>省份</t>
    </r>
    <phoneticPr fontId="3" type="noConversion"/>
  </si>
  <si>
    <r>
      <t xml:space="preserve">Position
</t>
    </r>
    <r>
      <rPr>
        <sz val="10"/>
        <color indexed="8"/>
        <rFont val="宋体"/>
        <family val="3"/>
        <charset val="134"/>
      </rPr>
      <t>职位</t>
    </r>
    <phoneticPr fontId="3" type="noConversion"/>
  </si>
  <si>
    <t>POS Network</t>
  </si>
  <si>
    <t xml:space="preserve"> POSL风控, 滚动一个月 POSL Rist for Rolling 1 Month</t>
  </si>
  <si>
    <t>当前月份 MTD</t>
  </si>
  <si>
    <t>上月 Last Month</t>
  </si>
  <si>
    <t>省份</t>
  </si>
  <si>
    <t>城市</t>
  </si>
  <si>
    <t>门店</t>
  </si>
  <si>
    <t>门店最近产单日期</t>
  </si>
  <si>
    <t>单量</t>
  </si>
  <si>
    <t>金额</t>
  </si>
  <si>
    <t xml:space="preserve">单量 </t>
  </si>
  <si>
    <t>手机</t>
  </si>
  <si>
    <t>电脑</t>
  </si>
  <si>
    <t>家电</t>
  </si>
  <si>
    <t>二轮/三轮</t>
  </si>
  <si>
    <t>美容</t>
  </si>
  <si>
    <t>其它</t>
  </si>
  <si>
    <t>逾期合同数</t>
  </si>
  <si>
    <t>总合同数</t>
  </si>
  <si>
    <t>POS</t>
  </si>
  <si>
    <t>Last Application Date</t>
  </si>
  <si>
    <t>Unit</t>
  </si>
  <si>
    <t>Volume</t>
  </si>
  <si>
    <t>Phone</t>
  </si>
  <si>
    <t>PC</t>
  </si>
  <si>
    <t>HA</t>
  </si>
  <si>
    <t>Fashion</t>
  </si>
  <si>
    <t>TW</t>
  </si>
  <si>
    <t>Beauty</t>
  </si>
  <si>
    <t xml:space="preserve">Others </t>
  </si>
  <si>
    <t>Observable #</t>
  </si>
  <si>
    <r>
      <t xml:space="preserve">FPD10
</t>
    </r>
    <r>
      <rPr>
        <sz val="10"/>
        <color indexed="8"/>
        <rFont val="宋体"/>
        <family val="3"/>
        <charset val="134"/>
      </rPr>
      <t>首期还款逾期</t>
    </r>
    <r>
      <rPr>
        <sz val="10"/>
        <color indexed="8"/>
        <rFont val="Calibri"/>
        <family val="2"/>
      </rPr>
      <t>10</t>
    </r>
    <r>
      <rPr>
        <sz val="10"/>
        <color indexed="8"/>
        <rFont val="宋体"/>
        <family val="3"/>
        <charset val="134"/>
      </rPr>
      <t>天比例</t>
    </r>
    <phoneticPr fontId="3" type="noConversion"/>
  </si>
  <si>
    <r>
      <t xml:space="preserve">FPD30
</t>
    </r>
    <r>
      <rPr>
        <sz val="10"/>
        <color indexed="8"/>
        <rFont val="宋体"/>
        <family val="3"/>
        <charset val="134"/>
      </rPr>
      <t>第一期还款逾期</t>
    </r>
    <r>
      <rPr>
        <sz val="10"/>
        <color indexed="8"/>
        <rFont val="Calibri"/>
        <family val="2"/>
      </rPr>
      <t>30</t>
    </r>
    <r>
      <rPr>
        <sz val="10"/>
        <color indexed="8"/>
        <rFont val="宋体"/>
        <family val="3"/>
        <charset val="134"/>
      </rPr>
      <t>天比例</t>
    </r>
    <phoneticPr fontId="3" type="noConversion"/>
  </si>
  <si>
    <r>
      <t xml:space="preserve">SPD30
</t>
    </r>
    <r>
      <rPr>
        <sz val="10"/>
        <color indexed="8"/>
        <rFont val="宋体"/>
        <family val="3"/>
        <charset val="134"/>
      </rPr>
      <t>第二期还款逾期</t>
    </r>
    <r>
      <rPr>
        <sz val="10"/>
        <color indexed="8"/>
        <rFont val="Calibri"/>
        <family val="2"/>
      </rPr>
      <t>30</t>
    </r>
    <r>
      <rPr>
        <sz val="10"/>
        <color indexed="8"/>
        <rFont val="宋体"/>
        <family val="3"/>
        <charset val="134"/>
      </rPr>
      <t>天比例</t>
    </r>
    <phoneticPr fontId="3" type="noConversion"/>
  </si>
  <si>
    <t>SPD 30
Benchmark:1.9%
Average Rate:0.89%</t>
    <phoneticPr fontId="3" type="noConversion"/>
  </si>
  <si>
    <t>TPD 30
Benchmark:1.8%
Average Rate:0.85%</t>
    <phoneticPr fontId="3" type="noConversion"/>
  </si>
  <si>
    <t>QPD 30
Benchmark:1.8%
Average Rate:0.93%</t>
    <phoneticPr fontId="3" type="noConversion"/>
  </si>
  <si>
    <t>FPD 10
Benchmark:4.5%
Average Rate:1.88%</t>
    <phoneticPr fontId="3" type="noConversion"/>
  </si>
  <si>
    <t>FPD 30
Benchmark:2.8%
Average Rate:1.15%</t>
    <phoneticPr fontId="3" type="noConversion"/>
  </si>
  <si>
    <t>SPD 30
Benchmark:1.9%
Average Rate:1.07%</t>
    <phoneticPr fontId="3" type="noConversion"/>
  </si>
  <si>
    <t>TPD 30
Benchmark:1.8%
Average Rate:1.03%</t>
    <phoneticPr fontId="3" type="noConversion"/>
  </si>
  <si>
    <t>QPD 30
Benchmark:1.8%
Average Rate:1.16%</t>
    <phoneticPr fontId="3" type="noConversion"/>
  </si>
  <si>
    <t>FPD 30
Benchmark:2.8%
Average Rate:1.06%</t>
  </si>
  <si>
    <t>FPD 10
Benchmark:4.5%
Average Rate:15,600.00%</t>
  </si>
  <si>
    <r>
      <rPr>
        <b/>
        <sz val="10"/>
        <color indexed="8"/>
        <rFont val="宋体"/>
        <family val="3"/>
        <charset val="134"/>
      </rPr>
      <t>商品贷单量和金额</t>
    </r>
    <r>
      <rPr>
        <b/>
        <sz val="10"/>
        <color indexed="8"/>
        <rFont val="Calibri"/>
        <family val="2"/>
      </rPr>
      <t xml:space="preserve"> POSL Unit and Volume</t>
    </r>
    <phoneticPr fontId="3" type="noConversion"/>
  </si>
  <si>
    <r>
      <t xml:space="preserve"> </t>
    </r>
    <r>
      <rPr>
        <b/>
        <sz val="10"/>
        <color indexed="8"/>
        <rFont val="宋体"/>
        <family val="3"/>
        <charset val="134"/>
      </rPr>
      <t>按商品类型的商品贷单量</t>
    </r>
    <r>
      <rPr>
        <b/>
        <sz val="10"/>
        <color indexed="8"/>
        <rFont val="Calibri"/>
        <family val="2"/>
      </rPr>
      <t xml:space="preserve"> POSL Units by Commodity</t>
    </r>
    <phoneticPr fontId="3" type="noConversion"/>
  </si>
  <si>
    <t>家具装修</t>
    <phoneticPr fontId="3" type="noConversion"/>
  </si>
  <si>
    <t>旅游</t>
    <phoneticPr fontId="3" type="noConversion"/>
  </si>
  <si>
    <t>逾期合同数</t>
    <phoneticPr fontId="5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</si>
</sst>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_(* #,##0.00_);_(* \(#,##0.00\);_(* &quot;-&quot;??_);_(@_)"/>
    <numFmt numFmtId="178" formatCode="[$-409]d/mmm/yyyy;@"/>
    <numFmt numFmtId="179" formatCode="[$-409]dd/mmm/yy;@"/>
  </numFmts>
  <fonts count="57" x14ac:knownFonts="1"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Calibri"/>
      <family val="2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8"/>
      <color theme="0"/>
      <name val="Calibri"/>
      <family val="2"/>
    </font>
    <font>
      <b/>
      <sz val="8"/>
      <color theme="0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rgb="FF000000"/>
      <name val="宋体"/>
      <family val="3"/>
      <charset val="134"/>
    </font>
    <font>
      <sz val="10"/>
      <color rgb="FF000000"/>
      <name val="Symbol"/>
      <family val="1"/>
      <charset val="2"/>
    </font>
    <font>
      <sz val="10"/>
      <color rgb="FF000000"/>
      <name val="Times New Roman"/>
      <family val="1"/>
    </font>
    <font>
      <sz val="10"/>
      <color rgb="FF000000"/>
      <name val="Cambria"/>
      <family val="1"/>
    </font>
    <font>
      <sz val="10"/>
      <color rgb="FF000000"/>
      <name val="宋体"/>
      <family val="3"/>
      <charset val="134"/>
    </font>
    <font>
      <b/>
      <u/>
      <sz val="10"/>
      <color theme="1"/>
      <name val="宋体"/>
      <family val="3"/>
      <charset val="134"/>
    </font>
    <font>
      <u/>
      <sz val="10"/>
      <color rgb="FF000000"/>
      <name val="宋体"/>
      <family val="3"/>
      <charset val="134"/>
    </font>
    <font>
      <u/>
      <sz val="10"/>
      <color theme="1"/>
      <name val="宋体"/>
      <family val="3"/>
      <charset val="134"/>
    </font>
    <font>
      <u/>
      <sz val="10"/>
      <color rgb="FFFF0000"/>
      <name val="宋体"/>
      <family val="3"/>
      <charset val="134"/>
    </font>
    <font>
      <sz val="9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9"/>
      <color indexed="8"/>
      <name val="Arial"/>
      <family val="2"/>
    </font>
    <font>
      <b/>
      <sz val="10"/>
      <color indexed="8"/>
      <name val="Calibri"/>
      <family val="2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rgb="FFFF0000"/>
      <name val="宋体"/>
      <family val="2"/>
      <scheme val="minor"/>
    </font>
    <font>
      <sz val="9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0"/>
      <name val="Calibri"/>
      <family val="2"/>
    </font>
    <font>
      <sz val="11"/>
      <color rgb="FF9C0006"/>
      <name val="Calibri"/>
      <family val="2"/>
    </font>
    <font>
      <b/>
      <sz val="11"/>
      <color rgb="FFFA7D00"/>
      <name val="Calibri"/>
      <family val="2"/>
    </font>
    <font>
      <b/>
      <sz val="11"/>
      <color theme="0"/>
      <name val="Calibri"/>
      <family val="2"/>
    </font>
    <font>
      <i/>
      <sz val="11"/>
      <color rgb="FF7F7F7F"/>
      <name val="Calibri"/>
      <family val="2"/>
    </font>
    <font>
      <sz val="11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3F3F76"/>
      <name val="Calibri"/>
      <family val="2"/>
    </font>
    <font>
      <sz val="11"/>
      <color rgb="FFFA7D00"/>
      <name val="Calibri"/>
      <family val="2"/>
    </font>
    <font>
      <sz val="11"/>
      <color rgb="FF9C6500"/>
      <name val="Calibri"/>
      <family val="2"/>
    </font>
    <font>
      <sz val="10"/>
      <name val="宋体"/>
      <family val="3"/>
      <charset val="134"/>
    </font>
    <font>
      <b/>
      <sz val="9"/>
      <color indexed="8"/>
      <name val="Tahoma"/>
      <family val="2"/>
    </font>
    <font>
      <b/>
      <sz val="11"/>
      <color rgb="FF3F3F3F"/>
      <name val="Calibri"/>
      <family val="2"/>
    </font>
    <font>
      <b/>
      <sz val="18"/>
      <color theme="3"/>
      <name val="Cambria"/>
      <family val="1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sz val="1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0"/>
      <color indexed="64"/>
      <name val="Arial"/>
      <family val="2"/>
    </font>
    <font>
      <sz val="10"/>
      <name val="Calibri"/>
      <family val="2"/>
    </font>
    <font>
      <sz val="10"/>
      <color rgb="FF000000"/>
      <name val="宋体"/>
      <family val="3"/>
      <charset val="134"/>
      <scheme val="minor"/>
    </font>
    <font>
      <b/>
      <sz val="10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</borders>
  <cellStyleXfs count="100">
    <xf numFmtId="0" fontId="0" fillId="0" borderId="0"/>
    <xf numFmtId="0" fontId="1" fillId="0" borderId="0"/>
    <xf numFmtId="0" fontId="27" fillId="0" borderId="0"/>
    <xf numFmtId="0" fontId="28" fillId="0" borderId="0"/>
    <xf numFmtId="177" fontId="28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27" fillId="35" borderId="0" applyNumberFormat="0" applyBorder="0" applyAlignment="0" applyProtection="0"/>
    <xf numFmtId="0" fontId="30" fillId="16" borderId="0" applyNumberFormat="0" applyBorder="0" applyAlignment="0" applyProtection="0"/>
    <xf numFmtId="0" fontId="30" fillId="20" borderId="0" applyNumberFormat="0" applyBorder="0" applyAlignment="0" applyProtection="0"/>
    <xf numFmtId="0" fontId="30" fillId="24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13" borderId="0" applyNumberFormat="0" applyBorder="0" applyAlignment="0" applyProtection="0"/>
    <xf numFmtId="0" fontId="30" fillId="17" borderId="0" applyNumberFormat="0" applyBorder="0" applyAlignment="0" applyProtection="0"/>
    <xf numFmtId="0" fontId="30" fillId="21" borderId="0" applyNumberFormat="0" applyBorder="0" applyAlignment="0" applyProtection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1" fillId="8" borderId="0" applyNumberFormat="0" applyBorder="0" applyAlignment="0" applyProtection="0"/>
    <xf numFmtId="0" fontId="32" fillId="11" borderId="13" applyNumberFormat="0" applyAlignment="0" applyProtection="0"/>
    <xf numFmtId="0" fontId="33" fillId="12" borderId="16" applyNumberFormat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6" fillId="0" borderId="10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10" borderId="13" applyNumberFormat="0" applyAlignment="0" applyProtection="0"/>
    <xf numFmtId="0" fontId="40" fillId="0" borderId="15" applyNumberFormat="0" applyFill="0" applyAlignment="0" applyProtection="0"/>
    <xf numFmtId="0" fontId="41" fillId="9" borderId="0" applyNumberFormat="0" applyBorder="0" applyAlignment="0" applyProtection="0"/>
    <xf numFmtId="0" fontId="42" fillId="0" borderId="0"/>
    <xf numFmtId="0" fontId="43" fillId="37" borderId="18">
      <alignment vertical="center"/>
    </xf>
    <xf numFmtId="0" fontId="44" fillId="11" borderId="14" applyNumberFormat="0" applyAlignment="0" applyProtection="0"/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/>
    <xf numFmtId="0" fontId="46" fillId="0" borderId="17" applyNumberFormat="0" applyFill="0" applyAlignment="0" applyProtection="0"/>
    <xf numFmtId="0" fontId="47" fillId="0" borderId="0" applyNumberFormat="0" applyFill="0" applyBorder="0" applyAlignment="0" applyProtection="0"/>
    <xf numFmtId="178" fontId="49" fillId="0" borderId="0"/>
    <xf numFmtId="0" fontId="51" fillId="0" borderId="0"/>
    <xf numFmtId="179" fontId="1" fillId="0" borderId="0"/>
    <xf numFmtId="176" fontId="49" fillId="0" borderId="0" applyFont="0" applyFill="0" applyBorder="0" applyAlignment="0" applyProtection="0"/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49" fillId="0" borderId="0"/>
    <xf numFmtId="178" fontId="50" fillId="0" borderId="0">
      <alignment vertical="center"/>
    </xf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50" fillId="0" borderId="0">
      <alignment vertical="center"/>
    </xf>
    <xf numFmtId="178" fontId="50" fillId="0" borderId="0">
      <alignment vertical="center"/>
    </xf>
    <xf numFmtId="178" fontId="49" fillId="0" borderId="0"/>
    <xf numFmtId="178" fontId="49" fillId="0" borderId="0"/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49" fillId="0" borderId="0"/>
    <xf numFmtId="178" fontId="50" fillId="0" borderId="0">
      <alignment vertical="center"/>
    </xf>
    <xf numFmtId="178" fontId="49" fillId="0" borderId="0"/>
    <xf numFmtId="178" fontId="49" fillId="0" borderId="0"/>
    <xf numFmtId="178" fontId="50" fillId="0" borderId="0">
      <alignment vertical="center"/>
    </xf>
    <xf numFmtId="178" fontId="50" fillId="0" borderId="0">
      <alignment vertical="center"/>
    </xf>
    <xf numFmtId="178" fontId="50" fillId="0" borderId="0">
      <alignment vertical="center"/>
    </xf>
    <xf numFmtId="178" fontId="49" fillId="0" borderId="0"/>
    <xf numFmtId="178" fontId="50" fillId="0" borderId="0">
      <alignment vertical="center"/>
    </xf>
    <xf numFmtId="178" fontId="50" fillId="0" borderId="0">
      <alignment vertical="center"/>
    </xf>
    <xf numFmtId="178" fontId="50" fillId="0" borderId="0">
      <alignment vertical="center"/>
    </xf>
    <xf numFmtId="178" fontId="50" fillId="0" borderId="0">
      <alignment vertical="center"/>
    </xf>
    <xf numFmtId="178" fontId="49" fillId="0" borderId="0"/>
  </cellStyleXfs>
  <cellXfs count="85">
    <xf numFmtId="0" fontId="0" fillId="0" borderId="0" xfId="0"/>
    <xf numFmtId="10" fontId="0" fillId="0" borderId="0" xfId="0" applyNumberFormat="1"/>
    <xf numFmtId="0" fontId="0" fillId="0" borderId="1" xfId="0" applyBorder="1"/>
    <xf numFmtId="0" fontId="4" fillId="0" borderId="0" xfId="0" applyFont="1"/>
    <xf numFmtId="0" fontId="5" fillId="5" borderId="2" xfId="0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9" fillId="6" borderId="0" xfId="0" applyFont="1" applyFill="1"/>
    <xf numFmtId="0" fontId="7" fillId="6" borderId="0" xfId="0" applyFont="1" applyFill="1"/>
    <xf numFmtId="0" fontId="7" fillId="6" borderId="0" xfId="0" applyFont="1" applyFill="1" applyAlignment="1">
      <alignment wrapText="1"/>
    </xf>
    <xf numFmtId="0" fontId="10" fillId="6" borderId="0" xfId="0" applyFont="1" applyFill="1" applyAlignment="1">
      <alignment horizontal="left" indent="5"/>
    </xf>
    <xf numFmtId="0" fontId="12" fillId="6" borderId="0" xfId="0" applyFont="1" applyFill="1"/>
    <xf numFmtId="0" fontId="14" fillId="6" borderId="0" xfId="0" applyFont="1" applyFill="1"/>
    <xf numFmtId="0" fontId="15" fillId="6" borderId="0" xfId="0" applyFont="1" applyFill="1"/>
    <xf numFmtId="0" fontId="16" fillId="6" borderId="0" xfId="0" applyFont="1" applyFill="1"/>
    <xf numFmtId="0" fontId="17" fillId="6" borderId="0" xfId="0" applyFont="1" applyFill="1"/>
    <xf numFmtId="0" fontId="18" fillId="0" borderId="1" xfId="0" applyFont="1" applyBorder="1" applyAlignment="1">
      <alignment horizontal="center"/>
    </xf>
    <xf numFmtId="0" fontId="6" fillId="5" borderId="4" xfId="0" applyFont="1" applyFill="1" applyBorder="1" applyAlignment="1">
      <alignment horizontal="center" wrapText="1"/>
    </xf>
    <xf numFmtId="10" fontId="24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 vertical="center"/>
    </xf>
    <xf numFmtId="10" fontId="23" fillId="0" borderId="1" xfId="0" applyNumberFormat="1" applyFont="1" applyBorder="1" applyAlignment="1">
      <alignment horizontal="center" vertical="center"/>
    </xf>
    <xf numFmtId="10" fontId="22" fillId="0" borderId="1" xfId="0" applyNumberFormat="1" applyFont="1" applyBorder="1" applyAlignment="1">
      <alignment horizontal="center" vertical="center"/>
    </xf>
    <xf numFmtId="10" fontId="22" fillId="0" borderId="6" xfId="0" applyNumberFormat="1" applyFont="1" applyBorder="1" applyAlignment="1">
      <alignment horizontal="center" vertical="center"/>
    </xf>
    <xf numFmtId="10" fontId="22" fillId="0" borderId="8" xfId="0" applyNumberFormat="1" applyFont="1" applyBorder="1" applyAlignment="1">
      <alignment horizontal="center" vertical="center"/>
    </xf>
    <xf numFmtId="10" fontId="22" fillId="0" borderId="9" xfId="0" applyNumberFormat="1" applyFont="1" applyBorder="1" applyAlignment="1">
      <alignment horizontal="center" vertical="center"/>
    </xf>
    <xf numFmtId="10" fontId="25" fillId="0" borderId="1" xfId="0" applyNumberFormat="1" applyFont="1" applyBorder="1" applyAlignment="1">
      <alignment horizontal="center"/>
    </xf>
    <xf numFmtId="10" fontId="25" fillId="0" borderId="8" xfId="0" applyNumberFormat="1" applyFont="1" applyBorder="1" applyAlignment="1">
      <alignment horizontal="center"/>
    </xf>
    <xf numFmtId="10" fontId="20" fillId="4" borderId="3" xfId="1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0" fillId="0" borderId="0" xfId="0" applyNumberFormat="1"/>
    <xf numFmtId="10" fontId="2" fillId="4" borderId="2" xfId="1" applyNumberFormat="1" applyFont="1" applyFill="1" applyBorder="1" applyAlignment="1">
      <alignment horizontal="center" vertical="center" wrapText="1"/>
    </xf>
    <xf numFmtId="10" fontId="2" fillId="4" borderId="3" xfId="1" applyNumberFormat="1" applyFont="1" applyFill="1" applyBorder="1" applyAlignment="1">
      <alignment horizontal="center" vertical="center" wrapText="1"/>
    </xf>
    <xf numFmtId="10" fontId="48" fillId="0" borderId="0" xfId="0" applyNumberFormat="1" applyFont="1"/>
    <xf numFmtId="10" fontId="20" fillId="4" borderId="4" xfId="1" applyNumberFormat="1" applyFont="1" applyFill="1" applyBorder="1" applyAlignment="1">
      <alignment horizontal="center" vertical="center" wrapText="1"/>
    </xf>
    <xf numFmtId="0" fontId="0" fillId="0" borderId="0" xfId="0"/>
    <xf numFmtId="0" fontId="2" fillId="4" borderId="2" xfId="1" applyNumberFormat="1" applyFont="1" applyFill="1" applyBorder="1" applyAlignment="1">
      <alignment horizontal="center" vertical="center" wrapText="1"/>
    </xf>
    <xf numFmtId="0" fontId="2" fillId="4" borderId="3" xfId="1" applyNumberFormat="1" applyFont="1" applyFill="1" applyBorder="1" applyAlignment="1">
      <alignment horizontal="center" vertical="center" wrapText="1"/>
    </xf>
    <xf numFmtId="10" fontId="2" fillId="3" borderId="3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6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0" fillId="0" borderId="19" xfId="0" applyBorder="1"/>
    <xf numFmtId="0" fontId="2" fillId="2" borderId="1" xfId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" fillId="2" borderId="1" xfId="1" quotePrefix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49" fontId="2" fillId="2" borderId="1" xfId="1" quotePrefix="1" applyNumberFormat="1" applyFont="1" applyFill="1" applyBorder="1" applyAlignment="1">
      <alignment horizontal="center" vertical="center" wrapText="1"/>
    </xf>
    <xf numFmtId="0" fontId="42" fillId="38" borderId="24" xfId="1" applyFont="1" applyFill="1" applyBorder="1" applyAlignment="1">
      <alignment horizontal="center" vertical="center" wrapText="1"/>
    </xf>
    <xf numFmtId="0" fontId="52" fillId="38" borderId="24" xfId="1" applyFont="1" applyFill="1" applyBorder="1" applyAlignment="1">
      <alignment horizontal="center" vertical="center" wrapText="1"/>
    </xf>
    <xf numFmtId="0" fontId="42" fillId="2" borderId="24" xfId="1" applyFont="1" applyFill="1" applyBorder="1" applyAlignment="1">
      <alignment horizontal="center" vertical="center" wrapText="1"/>
    </xf>
    <xf numFmtId="0" fontId="19" fillId="4" borderId="24" xfId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52" fillId="2" borderId="24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5" fillId="4" borderId="24" xfId="1" applyFont="1" applyFill="1" applyBorder="1" applyAlignment="1">
      <alignment horizontal="center" vertical="center" wrapText="1"/>
    </xf>
    <xf numFmtId="0" fontId="53" fillId="6" borderId="0" xfId="0" applyFont="1" applyFill="1" applyAlignment="1">
      <alignment horizontal="left" vertical="top"/>
    </xf>
    <xf numFmtId="0" fontId="21" fillId="2" borderId="27" xfId="1" quotePrefix="1" applyFont="1" applyFill="1" applyBorder="1" applyAlignment="1">
      <alignment horizontal="center" vertical="center"/>
    </xf>
    <xf numFmtId="0" fontId="21" fillId="2" borderId="28" xfId="1" quotePrefix="1" applyFont="1" applyFill="1" applyBorder="1" applyAlignment="1">
      <alignment horizontal="center" vertical="center"/>
    </xf>
    <xf numFmtId="0" fontId="21" fillId="2" borderId="32" xfId="1" quotePrefix="1" applyFont="1" applyFill="1" applyBorder="1" applyAlignment="1">
      <alignment horizontal="center" vertical="center"/>
    </xf>
    <xf numFmtId="0" fontId="21" fillId="2" borderId="33" xfId="1" quotePrefix="1" applyFont="1" applyFill="1" applyBorder="1" applyAlignment="1">
      <alignment horizontal="center" vertical="center"/>
    </xf>
    <xf numFmtId="0" fontId="21" fillId="38" borderId="29" xfId="1" applyFont="1" applyFill="1" applyBorder="1" applyAlignment="1">
      <alignment horizontal="center" vertical="center"/>
    </xf>
    <xf numFmtId="0" fontId="21" fillId="38" borderId="30" xfId="1" applyFont="1" applyFill="1" applyBorder="1" applyAlignment="1">
      <alignment horizontal="center" vertical="center"/>
    </xf>
    <xf numFmtId="0" fontId="21" fillId="2" borderId="29" xfId="1" quotePrefix="1" applyFont="1" applyFill="1" applyBorder="1" applyAlignment="1">
      <alignment horizontal="center" vertical="center"/>
    </xf>
    <xf numFmtId="0" fontId="21" fillId="2" borderId="30" xfId="1" quotePrefix="1" applyFont="1" applyFill="1" applyBorder="1" applyAlignment="1">
      <alignment horizontal="center" vertical="center"/>
    </xf>
    <xf numFmtId="0" fontId="21" fillId="2" borderId="31" xfId="1" applyFont="1" applyFill="1" applyBorder="1" applyAlignment="1">
      <alignment horizontal="center" vertical="center"/>
    </xf>
    <xf numFmtId="0" fontId="21" fillId="2" borderId="29" xfId="1" applyFont="1" applyFill="1" applyBorder="1" applyAlignment="1">
      <alignment horizontal="center" vertical="center"/>
    </xf>
    <xf numFmtId="0" fontId="21" fillId="2" borderId="30" xfId="1" applyFont="1" applyFill="1" applyBorder="1" applyAlignment="1">
      <alignment horizontal="center" vertical="center"/>
    </xf>
    <xf numFmtId="0" fontId="21" fillId="38" borderId="31" xfId="1" applyFont="1" applyFill="1" applyBorder="1" applyAlignment="1">
      <alignment horizontal="center" vertical="center"/>
    </xf>
    <xf numFmtId="0" fontId="21" fillId="4" borderId="31" xfId="1" applyFont="1" applyFill="1" applyBorder="1" applyAlignment="1">
      <alignment horizontal="center" vertical="center"/>
    </xf>
    <xf numFmtId="0" fontId="21" fillId="4" borderId="29" xfId="1" applyFont="1" applyFill="1" applyBorder="1" applyAlignment="1">
      <alignment horizontal="center" vertical="center"/>
    </xf>
    <xf numFmtId="0" fontId="21" fillId="4" borderId="30" xfId="1" applyFont="1" applyFill="1" applyBorder="1" applyAlignment="1">
      <alignment horizontal="center" vertical="center"/>
    </xf>
    <xf numFmtId="0" fontId="21" fillId="4" borderId="31" xfId="1" quotePrefix="1" applyFont="1" applyFill="1" applyBorder="1" applyAlignment="1">
      <alignment horizontal="center" vertical="center" wrapText="1"/>
    </xf>
    <xf numFmtId="0" fontId="21" fillId="4" borderId="30" xfId="1" quotePrefix="1" applyFont="1" applyFill="1" applyBorder="1" applyAlignment="1">
      <alignment horizontal="center" vertical="center" wrapText="1"/>
    </xf>
    <xf numFmtId="0" fontId="21" fillId="2" borderId="20" xfId="1" quotePrefix="1" applyFont="1" applyFill="1" applyBorder="1" applyAlignment="1">
      <alignment horizontal="center" vertical="center" wrapText="1"/>
    </xf>
    <xf numFmtId="0" fontId="21" fillId="2" borderId="21" xfId="1" quotePrefix="1" applyFont="1" applyFill="1" applyBorder="1" applyAlignment="1">
      <alignment horizontal="center" vertical="center" wrapText="1"/>
    </xf>
    <xf numFmtId="0" fontId="2" fillId="2" borderId="25" xfId="1" applyFont="1" applyFill="1" applyBorder="1" applyAlignment="1">
      <alignment horizontal="center" vertical="center" wrapText="1"/>
    </xf>
    <xf numFmtId="0" fontId="2" fillId="2" borderId="26" xfId="1" applyFont="1" applyFill="1" applyBorder="1" applyAlignment="1">
      <alignment horizontal="center" vertical="center" wrapText="1"/>
    </xf>
    <xf numFmtId="0" fontId="2" fillId="2" borderId="23" xfId="1" applyFont="1" applyFill="1" applyBorder="1" applyAlignment="1">
      <alignment horizontal="center" vertical="center" wrapText="1"/>
    </xf>
    <xf numFmtId="0" fontId="2" fillId="2" borderId="24" xfId="1" applyFont="1" applyFill="1" applyBorder="1" applyAlignment="1">
      <alignment horizontal="center" vertical="center" wrapText="1"/>
    </xf>
    <xf numFmtId="0" fontId="21" fillId="2" borderId="22" xfId="1" quotePrefix="1" applyFont="1" applyFill="1" applyBorder="1" applyAlignment="1">
      <alignment horizontal="center" vertical="center" wrapText="1"/>
    </xf>
  </cellXfs>
  <cellStyles count="100">
    <cellStyle name="20% - Accent1 2" xfId="6" xr:uid="{00000000-0005-0000-0000-000000000000}"/>
    <cellStyle name="20% - Accent2 2" xfId="7" xr:uid="{00000000-0005-0000-0000-000001000000}"/>
    <cellStyle name="20% - Accent3 2" xfId="8" xr:uid="{00000000-0005-0000-0000-000002000000}"/>
    <cellStyle name="20% - Accent4 2" xfId="9" xr:uid="{00000000-0005-0000-0000-000003000000}"/>
    <cellStyle name="20% - Accent5 2" xfId="10" xr:uid="{00000000-0005-0000-0000-000004000000}"/>
    <cellStyle name="20% - Accent6 2" xfId="11" xr:uid="{00000000-0005-0000-0000-000005000000}"/>
    <cellStyle name="40% - Accent1 2" xfId="12" xr:uid="{00000000-0005-0000-0000-000006000000}"/>
    <cellStyle name="40% - Accent2 2" xfId="13" xr:uid="{00000000-0005-0000-0000-000007000000}"/>
    <cellStyle name="40% - Accent3 2" xfId="14" xr:uid="{00000000-0005-0000-0000-000008000000}"/>
    <cellStyle name="40% - Accent4 2" xfId="15" xr:uid="{00000000-0005-0000-0000-000009000000}"/>
    <cellStyle name="40% - Accent5 2" xfId="16" xr:uid="{00000000-0005-0000-0000-00000A000000}"/>
    <cellStyle name="40% - Accent6 2" xfId="17" xr:uid="{00000000-0005-0000-0000-00000B000000}"/>
    <cellStyle name="60% - Accent1 2" xfId="18" xr:uid="{00000000-0005-0000-0000-00000C000000}"/>
    <cellStyle name="60% - Accent2 2" xfId="19" xr:uid="{00000000-0005-0000-0000-00000D000000}"/>
    <cellStyle name="60% - Accent3 2" xfId="20" xr:uid="{00000000-0005-0000-0000-00000E000000}"/>
    <cellStyle name="60% - Accent4 2" xfId="21" xr:uid="{00000000-0005-0000-0000-00000F000000}"/>
    <cellStyle name="60% - Accent5 2" xfId="22" xr:uid="{00000000-0005-0000-0000-000010000000}"/>
    <cellStyle name="60% - Accent6 2" xfId="23" xr:uid="{00000000-0005-0000-0000-000011000000}"/>
    <cellStyle name="Accent1 2" xfId="24" xr:uid="{00000000-0005-0000-0000-000012000000}"/>
    <cellStyle name="Accent2 2" xfId="25" xr:uid="{00000000-0005-0000-0000-000013000000}"/>
    <cellStyle name="Accent3 2" xfId="26" xr:uid="{00000000-0005-0000-0000-000014000000}"/>
    <cellStyle name="Accent4 2" xfId="27" xr:uid="{00000000-0005-0000-0000-000015000000}"/>
    <cellStyle name="Accent5 2" xfId="28" xr:uid="{00000000-0005-0000-0000-000016000000}"/>
    <cellStyle name="Accent6 2" xfId="29" xr:uid="{00000000-0005-0000-0000-000017000000}"/>
    <cellStyle name="Bad 2" xfId="30" xr:uid="{00000000-0005-0000-0000-000018000000}"/>
    <cellStyle name="Calculation 2" xfId="31" xr:uid="{00000000-0005-0000-0000-000019000000}"/>
    <cellStyle name="Check Cell 2" xfId="32" xr:uid="{00000000-0005-0000-0000-00001A000000}"/>
    <cellStyle name="Comma [0] 4" xfId="54" xr:uid="{00000000-0005-0000-0000-00001B000000}"/>
    <cellStyle name="Comma 2" xfId="4" xr:uid="{00000000-0005-0000-0000-00001C000000}"/>
    <cellStyle name="Explanatory Text 2" xfId="33" xr:uid="{00000000-0005-0000-0000-00001D000000}"/>
    <cellStyle name="Good 2" xfId="34" xr:uid="{00000000-0005-0000-0000-00001E000000}"/>
    <cellStyle name="Heading 1 2" xfId="35" xr:uid="{00000000-0005-0000-0000-00001F000000}"/>
    <cellStyle name="Heading 2 2" xfId="36" xr:uid="{00000000-0005-0000-0000-000020000000}"/>
    <cellStyle name="Heading 3 2" xfId="37" xr:uid="{00000000-0005-0000-0000-000021000000}"/>
    <cellStyle name="Heading 4 2" xfId="38" xr:uid="{00000000-0005-0000-0000-000022000000}"/>
    <cellStyle name="Input 2" xfId="39" xr:uid="{00000000-0005-0000-0000-000023000000}"/>
    <cellStyle name="Linked Cell 2" xfId="40" xr:uid="{00000000-0005-0000-0000-000024000000}"/>
    <cellStyle name="Neutral 2" xfId="41" xr:uid="{00000000-0005-0000-0000-000025000000}"/>
    <cellStyle name="Normal 2" xfId="3" xr:uid="{00000000-0005-0000-0000-000027000000}"/>
    <cellStyle name="Normal 2 2" xfId="42" xr:uid="{00000000-0005-0000-0000-000028000000}"/>
    <cellStyle name="Normal 2 2 2" xfId="57" xr:uid="{00000000-0005-0000-0000-000029000000}"/>
    <cellStyle name="Normal 2 2 2 2" xfId="58" xr:uid="{00000000-0005-0000-0000-00002A000000}"/>
    <cellStyle name="Normal 2 2 2 2 2" xfId="59" xr:uid="{00000000-0005-0000-0000-00002B000000}"/>
    <cellStyle name="Normal 2 2 2 2 2 2" xfId="60" xr:uid="{00000000-0005-0000-0000-00002C000000}"/>
    <cellStyle name="Normal 2 2 2 2 2 2 2" xfId="61" xr:uid="{00000000-0005-0000-0000-00002D000000}"/>
    <cellStyle name="Normal 2 2 2 2 2 2 2 2" xfId="62" xr:uid="{00000000-0005-0000-0000-00002E000000}"/>
    <cellStyle name="Normal 2 2 2 2 2 2 2 2 2" xfId="63" xr:uid="{00000000-0005-0000-0000-00002F000000}"/>
    <cellStyle name="Normal 2 2 2 2 2 2 2 2 2 2" xfId="64" xr:uid="{00000000-0005-0000-0000-000030000000}"/>
    <cellStyle name="Normal 2 2 2 2 2 2 2 3" xfId="65" xr:uid="{00000000-0005-0000-0000-000031000000}"/>
    <cellStyle name="Normal 2 2 2 2 2 2 3" xfId="66" xr:uid="{00000000-0005-0000-0000-000032000000}"/>
    <cellStyle name="Normal 2 2 2 2 2 3" xfId="67" xr:uid="{00000000-0005-0000-0000-000033000000}"/>
    <cellStyle name="Normal 2 2 2 2 2 4" xfId="68" xr:uid="{00000000-0005-0000-0000-000034000000}"/>
    <cellStyle name="Normal 2 2 2 2 3" xfId="69" xr:uid="{00000000-0005-0000-0000-000035000000}"/>
    <cellStyle name="Normal 2 2 2 2 4" xfId="70" xr:uid="{00000000-0005-0000-0000-000036000000}"/>
    <cellStyle name="Normal 2 2 2 2 5" xfId="71" xr:uid="{00000000-0005-0000-0000-000037000000}"/>
    <cellStyle name="Normal 2 2 2 3" xfId="72" xr:uid="{00000000-0005-0000-0000-000038000000}"/>
    <cellStyle name="Normal 2 2 2 3 2" xfId="73" xr:uid="{00000000-0005-0000-0000-000039000000}"/>
    <cellStyle name="Normal 2 2 2 4" xfId="74" xr:uid="{00000000-0005-0000-0000-00003A000000}"/>
    <cellStyle name="Normal 2 2 2 5" xfId="75" xr:uid="{00000000-0005-0000-0000-00003B000000}"/>
    <cellStyle name="Normal 2 2 3" xfId="76" xr:uid="{00000000-0005-0000-0000-00003C000000}"/>
    <cellStyle name="Normal 2 2 3 2" xfId="77" xr:uid="{00000000-0005-0000-0000-00003D000000}"/>
    <cellStyle name="Normal 2 2 4" xfId="78" xr:uid="{00000000-0005-0000-0000-00003E000000}"/>
    <cellStyle name="Normal 2 2 5" xfId="79" xr:uid="{00000000-0005-0000-0000-00003F000000}"/>
    <cellStyle name="Normal 2 2 6" xfId="80" xr:uid="{00000000-0005-0000-0000-000040000000}"/>
    <cellStyle name="Normal 2 2 7" xfId="56" xr:uid="{00000000-0005-0000-0000-000041000000}"/>
    <cellStyle name="Normal 2 3" xfId="81" xr:uid="{00000000-0005-0000-0000-000042000000}"/>
    <cellStyle name="Normal 2 4" xfId="82" xr:uid="{00000000-0005-0000-0000-000043000000}"/>
    <cellStyle name="Normal 2 46" xfId="53" xr:uid="{00000000-0005-0000-0000-000044000000}"/>
    <cellStyle name="Normal 2 5" xfId="83" xr:uid="{00000000-0005-0000-0000-000045000000}"/>
    <cellStyle name="Normal 2 5 2" xfId="84" xr:uid="{00000000-0005-0000-0000-000046000000}"/>
    <cellStyle name="Normal 2 5 2 2" xfId="85" xr:uid="{00000000-0005-0000-0000-000047000000}"/>
    <cellStyle name="Normal 2 5 3" xfId="86" xr:uid="{00000000-0005-0000-0000-000048000000}"/>
    <cellStyle name="Normal 2 6" xfId="87" xr:uid="{00000000-0005-0000-0000-000049000000}"/>
    <cellStyle name="Normal 2 6 2" xfId="88" xr:uid="{00000000-0005-0000-0000-00004A000000}"/>
    <cellStyle name="Normal 2 7" xfId="89" xr:uid="{00000000-0005-0000-0000-00004B000000}"/>
    <cellStyle name="Normal 2 8" xfId="90" xr:uid="{00000000-0005-0000-0000-00004C000000}"/>
    <cellStyle name="Normal 2 9" xfId="55" xr:uid="{00000000-0005-0000-0000-00004D000000}"/>
    <cellStyle name="Normal 3" xfId="91" xr:uid="{00000000-0005-0000-0000-00004E000000}"/>
    <cellStyle name="Normal 4" xfId="92" xr:uid="{00000000-0005-0000-0000-00004F000000}"/>
    <cellStyle name="Normal 5" xfId="93" xr:uid="{00000000-0005-0000-0000-000050000000}"/>
    <cellStyle name="Normal 5 2" xfId="94" xr:uid="{00000000-0005-0000-0000-000051000000}"/>
    <cellStyle name="Normal 5 2 2" xfId="95" xr:uid="{00000000-0005-0000-0000-000052000000}"/>
    <cellStyle name="Normal 5 3" xfId="96" xr:uid="{00000000-0005-0000-0000-000053000000}"/>
    <cellStyle name="Normal 6" xfId="97" xr:uid="{00000000-0005-0000-0000-000054000000}"/>
    <cellStyle name="Normal 7" xfId="98" xr:uid="{00000000-0005-0000-0000-000055000000}"/>
    <cellStyle name="Normal 7 2" xfId="99" xr:uid="{00000000-0005-0000-0000-000056000000}"/>
    <cellStyle name="Normal 8" xfId="52" xr:uid="{00000000-0005-0000-0000-000057000000}"/>
    <cellStyle name="Normal 9" xfId="51" xr:uid="{00000000-0005-0000-0000-000058000000}"/>
    <cellStyle name="OBI_ColHeader" xfId="43" xr:uid="{00000000-0005-0000-0000-000059000000}"/>
    <cellStyle name="Output 2" xfId="44" xr:uid="{00000000-0005-0000-0000-00005A000000}"/>
    <cellStyle name="Percent 2" xfId="5" xr:uid="{00000000-0005-0000-0000-00005B000000}"/>
    <cellStyle name="Percent 2 2" xfId="45" xr:uid="{00000000-0005-0000-0000-00005C000000}"/>
    <cellStyle name="Percent 2 2 2" xfId="46" xr:uid="{00000000-0005-0000-0000-00005D000000}"/>
    <cellStyle name="Percent 2 3" xfId="47" xr:uid="{00000000-0005-0000-0000-00005E000000}"/>
    <cellStyle name="Title 2" xfId="48" xr:uid="{00000000-0005-0000-0000-00005F000000}"/>
    <cellStyle name="Total 2" xfId="49" xr:uid="{00000000-0005-0000-0000-000060000000}"/>
    <cellStyle name="Warning Text 2" xfId="50" xr:uid="{00000000-0005-0000-0000-000061000000}"/>
    <cellStyle name="常规" xfId="0" builtinId="0"/>
    <cellStyle name="常规 2" xfId="1" xr:uid="{00000000-0005-0000-0000-000062000000}"/>
    <cellStyle name="常规 2 2" xfId="2" xr:uid="{00000000-0005-0000-0000-000063000000}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ales_performance_report_enti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A"/>
    </sheetNames>
    <sheetDataSet>
      <sheetData sheetId="0">
        <row r="4">
          <cell r="I4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Q38"/>
  <sheetViews>
    <sheetView showGridLines="0" workbookViewId="0">
      <selection activeCell="B28" sqref="B28"/>
    </sheetView>
  </sheetViews>
  <sheetFormatPr defaultRowHeight="13.5" x14ac:dyDescent="0.15"/>
  <cols>
    <col min="1" max="1" width="2.875" customWidth="1"/>
    <col min="5" max="5" width="9.625" customWidth="1"/>
    <col min="6" max="6" width="9" customWidth="1"/>
    <col min="7" max="7" width="8.875" customWidth="1"/>
    <col min="8" max="17" width="9" customWidth="1"/>
  </cols>
  <sheetData>
    <row r="1" spans="2:17" ht="14.25" thickBot="1" x14ac:dyDescent="0.2">
      <c r="B1" s="3" t="s">
        <v>8</v>
      </c>
      <c r="C1" s="3"/>
    </row>
    <row r="2" spans="2:17" ht="22.5" thickTop="1" x14ac:dyDescent="0.2">
      <c r="B2" s="4" t="s">
        <v>9</v>
      </c>
      <c r="C2" s="5" t="s">
        <v>28</v>
      </c>
      <c r="D2" s="5" t="s">
        <v>10</v>
      </c>
      <c r="E2" s="5" t="s">
        <v>24</v>
      </c>
      <c r="F2" s="5" t="s">
        <v>29</v>
      </c>
      <c r="G2" s="5" t="s">
        <v>28</v>
      </c>
      <c r="H2" s="5" t="s">
        <v>10</v>
      </c>
      <c r="I2" s="5" t="s">
        <v>25</v>
      </c>
      <c r="J2" s="5" t="s">
        <v>29</v>
      </c>
      <c r="K2" s="5" t="s">
        <v>28</v>
      </c>
      <c r="L2" s="5" t="s">
        <v>10</v>
      </c>
      <c r="M2" s="5" t="s">
        <v>26</v>
      </c>
      <c r="N2" s="19" t="s">
        <v>29</v>
      </c>
    </row>
    <row r="3" spans="2:17" x14ac:dyDescent="0.15">
      <c r="B3" s="7">
        <v>1</v>
      </c>
      <c r="C3" s="21" t="e">
        <f>VLOOKUP(B3,City!A:D,4,FALSE)</f>
        <v>#N/A</v>
      </c>
      <c r="D3" s="21" t="e">
        <f>VLOOKUP(B3,City!A:E,5,FALSE)</f>
        <v>#N/A</v>
      </c>
      <c r="E3" s="22" t="e">
        <f>VLOOKUP(B3,City!A:G,7,FALSE)</f>
        <v>#N/A</v>
      </c>
      <c r="F3" s="23">
        <v>4.4999999999999998E-2</v>
      </c>
      <c r="G3" s="21" t="e">
        <f>VLOOKUP(B3,City!B:D,3,FALSE)</f>
        <v>#N/A</v>
      </c>
      <c r="H3" s="21" t="e">
        <f>VLOOKUP(B3,City!B:E,4,FALSE)</f>
        <v>#N/A</v>
      </c>
      <c r="I3" s="22" t="e">
        <f>VLOOKUP(B3,City!B:H,7,FALSE)</f>
        <v>#N/A</v>
      </c>
      <c r="J3" s="23">
        <v>2.8000000000000001E-2</v>
      </c>
      <c r="K3" s="21" t="e">
        <f>VLOOKUP(B3,City!C:D,2,FALSE)</f>
        <v>#N/A</v>
      </c>
      <c r="L3" s="21" t="e">
        <f>VLOOKUP(B3,City!C:E,3,FALSE)</f>
        <v>#N/A</v>
      </c>
      <c r="M3" s="22" t="e">
        <f>VLOOKUP(summary!B3,City!C:I,7,FALSE)</f>
        <v>#N/A</v>
      </c>
      <c r="N3" s="24">
        <v>1.9E-2</v>
      </c>
    </row>
    <row r="4" spans="2:17" x14ac:dyDescent="0.15">
      <c r="B4" s="7">
        <v>2</v>
      </c>
      <c r="C4" s="21" t="e">
        <f>VLOOKUP(B4,City!A:D,4,FALSE)</f>
        <v>#N/A</v>
      </c>
      <c r="D4" s="21" t="e">
        <f>VLOOKUP(B4,City!A:E,5,FALSE)</f>
        <v>#N/A</v>
      </c>
      <c r="E4" s="22" t="e">
        <f>VLOOKUP(B4,City!A:G,7,FALSE)</f>
        <v>#N/A</v>
      </c>
      <c r="F4" s="23">
        <v>4.4999999999999998E-2</v>
      </c>
      <c r="G4" s="21" t="e">
        <f>VLOOKUP(B4,City!B:D,3,FALSE)</f>
        <v>#N/A</v>
      </c>
      <c r="H4" s="21" t="e">
        <f>VLOOKUP(B4,City!B:E,4,FALSE)</f>
        <v>#N/A</v>
      </c>
      <c r="I4" s="22" t="e">
        <f>VLOOKUP(B4,City!B:H,7,FALSE)</f>
        <v>#N/A</v>
      </c>
      <c r="J4" s="23">
        <v>2.8000000000000001E-2</v>
      </c>
      <c r="K4" s="21" t="e">
        <f>VLOOKUP(B4,City!C:D,2,FALSE)</f>
        <v>#N/A</v>
      </c>
      <c r="L4" s="21" t="e">
        <f>VLOOKUP(B4,City!C:E,3,FALSE)</f>
        <v>#N/A</v>
      </c>
      <c r="M4" s="22" t="e">
        <f>VLOOKUP(summary!B4,City!C:I,7,FALSE)</f>
        <v>#N/A</v>
      </c>
      <c r="N4" s="24">
        <v>1.9E-2</v>
      </c>
    </row>
    <row r="5" spans="2:17" x14ac:dyDescent="0.15">
      <c r="B5" s="7">
        <v>3</v>
      </c>
      <c r="C5" s="21" t="e">
        <f>VLOOKUP(B5,City!A:D,4,FALSE)</f>
        <v>#N/A</v>
      </c>
      <c r="D5" s="21" t="e">
        <f>VLOOKUP(B5,City!A:E,5,FALSE)</f>
        <v>#N/A</v>
      </c>
      <c r="E5" s="22" t="e">
        <f>VLOOKUP(B5,City!A:G,7,FALSE)</f>
        <v>#N/A</v>
      </c>
      <c r="F5" s="23">
        <v>4.4999999999999998E-2</v>
      </c>
      <c r="G5" s="21" t="e">
        <f>VLOOKUP(B5,City!B:D,3,FALSE)</f>
        <v>#N/A</v>
      </c>
      <c r="H5" s="21" t="e">
        <f>VLOOKUP(B5,City!B:E,4,FALSE)</f>
        <v>#N/A</v>
      </c>
      <c r="I5" s="22" t="e">
        <f>VLOOKUP(B5,City!B:H,7,FALSE)</f>
        <v>#N/A</v>
      </c>
      <c r="J5" s="23">
        <v>2.8000000000000001E-2</v>
      </c>
      <c r="K5" s="21" t="e">
        <f>VLOOKUP(B5,City!C:D,2,FALSE)</f>
        <v>#N/A</v>
      </c>
      <c r="L5" s="21" t="e">
        <f>VLOOKUP(B5,City!C:E,3,FALSE)</f>
        <v>#N/A</v>
      </c>
      <c r="M5" s="22" t="e">
        <f>VLOOKUP(summary!B5,City!C:I,7,FALSE)</f>
        <v>#N/A</v>
      </c>
      <c r="N5" s="24">
        <v>1.9E-2</v>
      </c>
    </row>
    <row r="6" spans="2:17" x14ac:dyDescent="0.15">
      <c r="B6" s="7">
        <v>4</v>
      </c>
      <c r="C6" s="21" t="e">
        <f>VLOOKUP(B6,City!A:D,4,FALSE)</f>
        <v>#N/A</v>
      </c>
      <c r="D6" s="21" t="e">
        <f>VLOOKUP(B6,City!A:E,5,FALSE)</f>
        <v>#N/A</v>
      </c>
      <c r="E6" s="22" t="e">
        <f>VLOOKUP(B6,City!A:G,7,FALSE)</f>
        <v>#N/A</v>
      </c>
      <c r="F6" s="23">
        <v>4.4999999999999998E-2</v>
      </c>
      <c r="G6" s="21" t="e">
        <f>VLOOKUP(B6,City!B:D,3,FALSE)</f>
        <v>#N/A</v>
      </c>
      <c r="H6" s="21" t="e">
        <f>VLOOKUP(B6,City!B:E,4,FALSE)</f>
        <v>#N/A</v>
      </c>
      <c r="I6" s="22" t="e">
        <f>VLOOKUP(B6,City!B:H,7,FALSE)</f>
        <v>#N/A</v>
      </c>
      <c r="J6" s="23">
        <v>2.8000000000000001E-2</v>
      </c>
      <c r="K6" s="21" t="e">
        <f>VLOOKUP(B6,City!C:D,2,FALSE)</f>
        <v>#N/A</v>
      </c>
      <c r="L6" s="21" t="e">
        <f>VLOOKUP(B6,City!C:E,3,FALSE)</f>
        <v>#N/A</v>
      </c>
      <c r="M6" s="22" t="e">
        <f>VLOOKUP(summary!B6,City!C:I,7,FALSE)</f>
        <v>#N/A</v>
      </c>
      <c r="N6" s="24">
        <v>1.9E-2</v>
      </c>
    </row>
    <row r="7" spans="2:17" ht="14.25" thickBot="1" x14ac:dyDescent="0.2">
      <c r="B7" s="8">
        <v>5</v>
      </c>
      <c r="C7" s="21" t="e">
        <f>VLOOKUP(B7,City!A:D,4,FALSE)</f>
        <v>#N/A</v>
      </c>
      <c r="D7" s="21" t="e">
        <f>VLOOKUP(B7,City!A:E,5,FALSE)</f>
        <v>#N/A</v>
      </c>
      <c r="E7" s="22" t="e">
        <f>VLOOKUP(B7,City!A:G,7,FALSE)</f>
        <v>#N/A</v>
      </c>
      <c r="F7" s="25">
        <v>4.4999999999999998E-2</v>
      </c>
      <c r="G7" s="21" t="e">
        <f>VLOOKUP(B7,City!B:D,3,FALSE)</f>
        <v>#N/A</v>
      </c>
      <c r="H7" s="21" t="e">
        <f>VLOOKUP(B7,City!B:E,4,FALSE)</f>
        <v>#N/A</v>
      </c>
      <c r="I7" s="22" t="e">
        <f>VLOOKUP(B7,City!B:H,7,FALSE)</f>
        <v>#N/A</v>
      </c>
      <c r="J7" s="25">
        <v>2.8000000000000001E-2</v>
      </c>
      <c r="K7" s="21" t="e">
        <f>VLOOKUP(B7,City!C:D,2,FALSE)</f>
        <v>#N/A</v>
      </c>
      <c r="L7" s="21" t="e">
        <f>VLOOKUP(B7,City!C:E,3,FALSE)</f>
        <v>#N/A</v>
      </c>
      <c r="M7" s="22" t="e">
        <f>VLOOKUP(summary!B7,City!C:I,7,FALSE)</f>
        <v>#N/A</v>
      </c>
      <c r="N7" s="26">
        <v>1.9E-2</v>
      </c>
    </row>
    <row r="8" spans="2:17" ht="14.25" thickTop="1" x14ac:dyDescent="0.15"/>
    <row r="10" spans="2:17" ht="14.25" thickBot="1" x14ac:dyDescent="0.2">
      <c r="B10" s="3" t="s">
        <v>14</v>
      </c>
    </row>
    <row r="11" spans="2:17" ht="22.5" thickTop="1" x14ac:dyDescent="0.2">
      <c r="B11" s="4" t="s">
        <v>9</v>
      </c>
      <c r="C11" s="5" t="s">
        <v>28</v>
      </c>
      <c r="D11" s="5" t="s">
        <v>10</v>
      </c>
      <c r="E11" s="5" t="s">
        <v>11</v>
      </c>
      <c r="F11" s="5" t="s">
        <v>29</v>
      </c>
      <c r="G11" s="6" t="s">
        <v>15</v>
      </c>
      <c r="H11" s="5" t="s">
        <v>28</v>
      </c>
      <c r="I11" s="5" t="s">
        <v>10</v>
      </c>
      <c r="J11" s="5" t="s">
        <v>12</v>
      </c>
      <c r="K11" s="5" t="s">
        <v>29</v>
      </c>
      <c r="L11" s="6" t="s">
        <v>15</v>
      </c>
      <c r="M11" s="5" t="s">
        <v>28</v>
      </c>
      <c r="N11" s="5" t="s">
        <v>10</v>
      </c>
      <c r="O11" s="5" t="s">
        <v>13</v>
      </c>
      <c r="P11" s="5" t="s">
        <v>29</v>
      </c>
      <c r="Q11" s="31" t="s">
        <v>15</v>
      </c>
    </row>
    <row r="12" spans="2:17" x14ac:dyDescent="0.15">
      <c r="B12" s="7">
        <v>1</v>
      </c>
      <c r="C12" s="30" t="e">
        <f>VLOOKUP(B12,DSM!A:E,5,FALSE)</f>
        <v>#N/A</v>
      </c>
      <c r="D12" s="18" t="e">
        <f>VLOOKUP(B12,DSM!A:F,6,FALSE)</f>
        <v>#N/A</v>
      </c>
      <c r="E12" s="20" t="e">
        <f>VLOOKUP(B12,DSM!A:K,11,FALSE)</f>
        <v>#N/A</v>
      </c>
      <c r="F12" s="23">
        <v>2.8000000000000001E-2</v>
      </c>
      <c r="G12" s="18" t="e">
        <f>RIGHT(VLOOKUP(B12,DSM!A:G,7,FALSE),LEN(VLOOKUP(B12,DSM!A:G,7,FALSE))-FIND("-",VLOOKUP(B12,DSM!A:G,7,FALSE),1))</f>
        <v>#N/A</v>
      </c>
      <c r="H12" s="18" t="e">
        <f>VLOOKUP(B12,DSM!B:E,4,FALSE)</f>
        <v>#N/A</v>
      </c>
      <c r="I12" s="18" t="e">
        <f>VLOOKUP(B12,DSM!B:F,5,FALSE)</f>
        <v>#N/A</v>
      </c>
      <c r="J12" s="20" t="e">
        <f>VLOOKUP(B12,DSM!B:L,11,FALSE)</f>
        <v>#N/A</v>
      </c>
      <c r="K12" s="23">
        <v>1.9E-2</v>
      </c>
      <c r="L12" s="18" t="e">
        <f>RIGHT(VLOOKUP(B12,DSM!B:G,6,FALSE),LEN(VLOOKUP(B12,DSM!B:G,6,FALSE))-FIND("-",VLOOKUP(B12,DSM!B:G,6,FALSE),1))</f>
        <v>#N/A</v>
      </c>
      <c r="M12" s="18" t="e">
        <f>VLOOKUP(B12,DSM!C:E,3,FALSE)</f>
        <v>#N/A</v>
      </c>
      <c r="N12" s="18" t="e">
        <f>VLOOKUP(B12,DSM!C:F,4,FALSE)</f>
        <v>#N/A</v>
      </c>
      <c r="O12" s="20" t="e">
        <f>VLOOKUP(B12,DSM!C:M,11,0)</f>
        <v>#N/A</v>
      </c>
      <c r="P12" s="27">
        <v>1.7999999999999999E-2</v>
      </c>
      <c r="Q12" s="32" t="e">
        <f>RIGHT(VLOOKUP(B12,DSM!C:G,5,FALSE),LEN(VLOOKUP(B12,DSM!C:G,5,FALSE))-FIND("-",VLOOKUP(B12,DSM!C:G,5,FALSE),1))</f>
        <v>#N/A</v>
      </c>
    </row>
    <row r="13" spans="2:17" x14ac:dyDescent="0.15">
      <c r="B13" s="7">
        <v>2</v>
      </c>
      <c r="C13" s="30" t="e">
        <f>VLOOKUP(B13,DSM!A:E,5,FALSE)</f>
        <v>#N/A</v>
      </c>
      <c r="D13" s="18" t="e">
        <f>VLOOKUP(B13,DSM!A:F,6,FALSE)</f>
        <v>#N/A</v>
      </c>
      <c r="E13" s="20" t="e">
        <f>VLOOKUP(B13,DSM!A:K,11,FALSE)</f>
        <v>#N/A</v>
      </c>
      <c r="F13" s="23">
        <v>2.8000000000000001E-2</v>
      </c>
      <c r="G13" s="18" t="e">
        <f>RIGHT(VLOOKUP(B13,DSM!A:G,7,FALSE),LEN(VLOOKUP(B13,DSM!A:G,7,FALSE))-FIND("-",VLOOKUP(B13,DSM!A:G,7,FALSE),1))</f>
        <v>#N/A</v>
      </c>
      <c r="H13" s="18" t="e">
        <f>VLOOKUP(B13,DSM!B:E,4,FALSE)</f>
        <v>#N/A</v>
      </c>
      <c r="I13" s="18" t="e">
        <f>VLOOKUP(B13,DSM!B:F,5,FALSE)</f>
        <v>#N/A</v>
      </c>
      <c r="J13" s="20" t="e">
        <f>VLOOKUP(B13,DSM!B:L,11,FALSE)</f>
        <v>#N/A</v>
      </c>
      <c r="K13" s="23">
        <v>1.9E-2</v>
      </c>
      <c r="L13" s="18" t="e">
        <f>RIGHT(VLOOKUP(B13,DSM!B:G,6,FALSE),LEN(VLOOKUP(B13,DSM!B:G,6,FALSE))-FIND("-",VLOOKUP(B13,DSM!B:G,6,FALSE),1))</f>
        <v>#N/A</v>
      </c>
      <c r="M13" s="18" t="e">
        <f>VLOOKUP(B13,DSM!C:E,3,FALSE)</f>
        <v>#N/A</v>
      </c>
      <c r="N13" s="18" t="e">
        <f>VLOOKUP(B13,DSM!C:F,4,FALSE)</f>
        <v>#N/A</v>
      </c>
      <c r="O13" s="20" t="e">
        <f>VLOOKUP(B13,DSM!C:M,11,0)</f>
        <v>#N/A</v>
      </c>
      <c r="P13" s="27">
        <v>1.7999999999999999E-2</v>
      </c>
      <c r="Q13" s="32" t="e">
        <f>RIGHT(VLOOKUP(B13,DSM!C:G,5,FALSE),LEN(VLOOKUP(B13,DSM!C:G,5,FALSE))-FIND("-",VLOOKUP(B13,DSM!C:G,5,FALSE),1))</f>
        <v>#N/A</v>
      </c>
    </row>
    <row r="14" spans="2:17" x14ac:dyDescent="0.15">
      <c r="B14" s="7">
        <v>3</v>
      </c>
      <c r="C14" s="30" t="e">
        <f>VLOOKUP(B14,DSM!A:E,5,FALSE)</f>
        <v>#N/A</v>
      </c>
      <c r="D14" s="18" t="e">
        <f>VLOOKUP(B14,DSM!A:F,6,FALSE)</f>
        <v>#N/A</v>
      </c>
      <c r="E14" s="20" t="e">
        <f>VLOOKUP(B14,DSM!A:K,11,FALSE)</f>
        <v>#N/A</v>
      </c>
      <c r="F14" s="23">
        <v>2.8000000000000001E-2</v>
      </c>
      <c r="G14" s="18" t="e">
        <f>RIGHT(VLOOKUP(B14,DSM!A:G,7,FALSE),LEN(VLOOKUP(B14,DSM!A:G,7,FALSE))-FIND("-",VLOOKUP(B14,DSM!A:G,7,FALSE),1))</f>
        <v>#N/A</v>
      </c>
      <c r="H14" s="18" t="e">
        <f>VLOOKUP(B14,DSM!B:E,4,FALSE)</f>
        <v>#N/A</v>
      </c>
      <c r="I14" s="18" t="e">
        <f>VLOOKUP(B14,DSM!B:F,5,FALSE)</f>
        <v>#N/A</v>
      </c>
      <c r="J14" s="20" t="e">
        <f>VLOOKUP(B14,DSM!B:L,11,FALSE)</f>
        <v>#N/A</v>
      </c>
      <c r="K14" s="23">
        <v>1.9E-2</v>
      </c>
      <c r="L14" s="18" t="e">
        <f>RIGHT(VLOOKUP(B14,DSM!B:G,6,FALSE),LEN(VLOOKUP(B14,DSM!B:G,6,FALSE))-FIND("-",VLOOKUP(B14,DSM!B:G,6,FALSE),1))</f>
        <v>#N/A</v>
      </c>
      <c r="M14" s="18" t="e">
        <f>VLOOKUP(B14,DSM!C:E,3,FALSE)</f>
        <v>#N/A</v>
      </c>
      <c r="N14" s="18" t="e">
        <f>VLOOKUP(B14,DSM!C:F,4,FALSE)</f>
        <v>#N/A</v>
      </c>
      <c r="O14" s="20" t="e">
        <f>VLOOKUP(B14,DSM!C:M,11,0)</f>
        <v>#N/A</v>
      </c>
      <c r="P14" s="27">
        <v>1.7999999999999999E-2</v>
      </c>
      <c r="Q14" s="32" t="e">
        <f>RIGHT(VLOOKUP(B14,DSM!C:G,5,FALSE),LEN(VLOOKUP(B14,DSM!C:G,5,FALSE))-FIND("-",VLOOKUP(B14,DSM!C:G,5,FALSE),1))</f>
        <v>#N/A</v>
      </c>
    </row>
    <row r="15" spans="2:17" x14ac:dyDescent="0.15">
      <c r="B15" s="7">
        <v>4</v>
      </c>
      <c r="C15" s="30" t="e">
        <f>VLOOKUP(B15,DSM!A:E,5,FALSE)</f>
        <v>#N/A</v>
      </c>
      <c r="D15" s="18" t="e">
        <f>VLOOKUP(B15,DSM!A:F,6,FALSE)</f>
        <v>#N/A</v>
      </c>
      <c r="E15" s="20" t="e">
        <f>VLOOKUP(B15,DSM!A:K,11,FALSE)</f>
        <v>#N/A</v>
      </c>
      <c r="F15" s="23">
        <v>2.8000000000000001E-2</v>
      </c>
      <c r="G15" s="18" t="e">
        <f>RIGHT(VLOOKUP(B15,DSM!A:G,7,FALSE),LEN(VLOOKUP(B15,DSM!A:G,7,FALSE))-FIND("-",VLOOKUP(B15,DSM!A:G,7,FALSE),1))</f>
        <v>#N/A</v>
      </c>
      <c r="H15" s="18" t="e">
        <f>VLOOKUP(B15,DSM!B:E,4,FALSE)</f>
        <v>#N/A</v>
      </c>
      <c r="I15" s="18" t="e">
        <f>VLOOKUP(B15,DSM!B:F,5,FALSE)</f>
        <v>#N/A</v>
      </c>
      <c r="J15" s="20" t="e">
        <f>VLOOKUP(B15,DSM!B:L,11,FALSE)</f>
        <v>#N/A</v>
      </c>
      <c r="K15" s="23">
        <v>1.9E-2</v>
      </c>
      <c r="L15" s="18" t="e">
        <f>RIGHT(VLOOKUP(B15,DSM!B:G,6,FALSE),LEN(VLOOKUP(B15,DSM!B:G,6,FALSE))-FIND("-",VLOOKUP(B15,DSM!B:G,6,FALSE),1))</f>
        <v>#N/A</v>
      </c>
      <c r="M15" s="18" t="e">
        <f>VLOOKUP(B15,DSM!C:E,3,FALSE)</f>
        <v>#N/A</v>
      </c>
      <c r="N15" s="18" t="e">
        <f>VLOOKUP(B15,DSM!C:F,4,FALSE)</f>
        <v>#N/A</v>
      </c>
      <c r="O15" s="20" t="e">
        <f>VLOOKUP(B15,DSM!C:M,11,0)</f>
        <v>#N/A</v>
      </c>
      <c r="P15" s="27">
        <v>1.7999999999999999E-2</v>
      </c>
      <c r="Q15" s="32" t="e">
        <f>RIGHT(VLOOKUP(B15,DSM!C:G,5,FALSE),LEN(VLOOKUP(B15,DSM!C:G,5,FALSE))-FIND("-",VLOOKUP(B15,DSM!C:G,5,FALSE),1))</f>
        <v>#N/A</v>
      </c>
    </row>
    <row r="16" spans="2:17" ht="14.25" thickBot="1" x14ac:dyDescent="0.2">
      <c r="B16" s="8">
        <v>5</v>
      </c>
      <c r="C16" s="30" t="e">
        <f>VLOOKUP(B16,DSM!A:E,5,FALSE)</f>
        <v>#N/A</v>
      </c>
      <c r="D16" s="18" t="e">
        <f>VLOOKUP(B16,DSM!A:F,6,FALSE)</f>
        <v>#N/A</v>
      </c>
      <c r="E16" s="20" t="e">
        <f>VLOOKUP(B16,DSM!A:K,11,FALSE)</f>
        <v>#N/A</v>
      </c>
      <c r="F16" s="25">
        <v>2.8000000000000001E-2</v>
      </c>
      <c r="G16" s="18" t="e">
        <f>RIGHT(VLOOKUP(B16,DSM!A:G,7,FALSE),LEN(VLOOKUP(B16,DSM!A:G,7,FALSE))-FIND("-",VLOOKUP(B16,DSM!A:G,7,FALSE),1))</f>
        <v>#N/A</v>
      </c>
      <c r="H16" s="18" t="e">
        <f>VLOOKUP(B16,DSM!B:E,4,FALSE)</f>
        <v>#N/A</v>
      </c>
      <c r="I16" s="18" t="e">
        <f>VLOOKUP(B16,DSM!B:F,5,FALSE)</f>
        <v>#N/A</v>
      </c>
      <c r="J16" s="20" t="e">
        <f>VLOOKUP(B16,DSM!B:L,11,FALSE)</f>
        <v>#N/A</v>
      </c>
      <c r="K16" s="25">
        <v>1.9E-2</v>
      </c>
      <c r="L16" s="18" t="e">
        <f>RIGHT(VLOOKUP(B16,DSM!B:G,6,FALSE),LEN(VLOOKUP(B16,DSM!B:G,6,FALSE))-FIND("-",VLOOKUP(B16,DSM!B:G,6,FALSE),1))</f>
        <v>#N/A</v>
      </c>
      <c r="M16" s="18" t="e">
        <f>VLOOKUP(B16,DSM!C:E,3,FALSE)</f>
        <v>#N/A</v>
      </c>
      <c r="N16" s="18" t="e">
        <f>VLOOKUP(B16,DSM!C:F,4,FALSE)</f>
        <v>#N/A</v>
      </c>
      <c r="O16" s="20" t="e">
        <f>VLOOKUP(B16,DSM!C:M,11,0)</f>
        <v>#N/A</v>
      </c>
      <c r="P16" s="28">
        <v>1.7999999999999999E-2</v>
      </c>
      <c r="Q16" s="32" t="e">
        <f>RIGHT(VLOOKUP(B16,DSM!C:G,5,FALSE),LEN(VLOOKUP(B16,DSM!C:G,5,FALSE))-FIND("-",VLOOKUP(B16,DSM!C:G,5,FALSE),1))</f>
        <v>#N/A</v>
      </c>
    </row>
    <row r="17" spans="2:12" ht="14.25" thickTop="1" x14ac:dyDescent="0.15"/>
    <row r="19" spans="2:12" x14ac:dyDescent="0.15">
      <c r="B19" s="9" t="s">
        <v>16</v>
      </c>
      <c r="C19" s="10"/>
      <c r="D19" s="11"/>
      <c r="E19" s="10"/>
      <c r="F19" s="10"/>
      <c r="G19" s="10"/>
      <c r="H19" s="11"/>
      <c r="I19" s="10"/>
      <c r="J19" s="10"/>
      <c r="K19" s="10"/>
      <c r="L19" s="11"/>
    </row>
    <row r="20" spans="2:12" x14ac:dyDescent="0.15">
      <c r="B20" s="60" t="e">
        <f>CONCATENATE("         ·       FPD10 风控指标最差的城市：",D3,"、",D4,"；  ")</f>
        <v>#N/A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</row>
    <row r="21" spans="2:12" x14ac:dyDescent="0.15">
      <c r="B21" s="60" t="e">
        <f>CONCATENATE("         ·       FPD30 风控指标最差的城市：",H3,"、",H4,"；  ")</f>
        <v>#N/A</v>
      </c>
      <c r="C21" s="60"/>
      <c r="D21" s="60"/>
      <c r="E21" s="60"/>
      <c r="F21" s="60"/>
      <c r="G21" s="60"/>
      <c r="H21" s="60"/>
      <c r="I21" s="60"/>
      <c r="J21" s="60"/>
      <c r="K21" s="60"/>
      <c r="L21" s="60"/>
    </row>
    <row r="22" spans="2:12" x14ac:dyDescent="0.15">
      <c r="B22" s="60" t="e">
        <f>CONCATENATE("         ·       SPD30 风控指标最差的城市：",L3,"、",L4,"；  ")</f>
        <v>#N/A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</row>
    <row r="23" spans="2:12" x14ac:dyDescent="0.15">
      <c r="B23" s="60" t="e">
        <f>CONCATENATE("         ·       FPD30 风控指标最差的DSM：",G12,"、",G13,"；  ")</f>
        <v>#N/A</v>
      </c>
      <c r="C23" s="60"/>
      <c r="D23" s="60"/>
      <c r="E23" s="60"/>
      <c r="F23" s="60"/>
      <c r="G23" s="60"/>
      <c r="H23" s="60"/>
      <c r="I23" s="60"/>
      <c r="J23" s="60"/>
      <c r="K23" s="60"/>
      <c r="L23" s="60"/>
    </row>
    <row r="24" spans="2:12" x14ac:dyDescent="0.15">
      <c r="B24" s="60" t="e">
        <f>CONCATENATE("         ·       SPD30 风控指标最差的DSM：",L12,"、",L13,"；  ")</f>
        <v>#N/A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</row>
    <row r="25" spans="2:12" x14ac:dyDescent="0.15">
      <c r="B25" s="60" t="e">
        <f>CONCATENATE("         ·       TPD30 风控指标最差的DSM：",Q12,"、",Q13,"；  ")</f>
        <v>#N/A</v>
      </c>
      <c r="C25" s="60"/>
      <c r="D25" s="60"/>
      <c r="E25" s="60"/>
      <c r="F25" s="60"/>
      <c r="G25" s="60"/>
      <c r="H25" s="60"/>
      <c r="I25" s="60"/>
      <c r="J25" s="60"/>
      <c r="K25" s="60"/>
      <c r="L25" s="60"/>
    </row>
    <row r="26" spans="2:12" ht="14.25" x14ac:dyDescent="0.2">
      <c r="B26" s="13"/>
      <c r="C26" s="10"/>
      <c r="D26" s="11"/>
      <c r="E26" s="10"/>
      <c r="F26" s="10"/>
      <c r="G26" s="10"/>
      <c r="H26" s="11"/>
      <c r="I26" s="10"/>
      <c r="J26" s="10"/>
      <c r="K26" s="10"/>
      <c r="L26" s="11"/>
    </row>
    <row r="27" spans="2:12" x14ac:dyDescent="0.15">
      <c r="B27" s="9" t="s">
        <v>17</v>
      </c>
      <c r="C27" s="10"/>
      <c r="D27" s="11"/>
      <c r="E27" s="10"/>
      <c r="F27" s="10"/>
      <c r="G27" s="10"/>
      <c r="H27" s="11"/>
      <c r="I27" s="10"/>
      <c r="J27" s="10"/>
      <c r="K27" s="10"/>
      <c r="L27" s="11"/>
    </row>
    <row r="28" spans="2:12" ht="14.25" x14ac:dyDescent="0.2">
      <c r="B28" s="12" t="s">
        <v>18</v>
      </c>
      <c r="C28" s="10"/>
      <c r="D28" s="11"/>
      <c r="E28" s="10"/>
      <c r="F28" s="10"/>
      <c r="G28" s="10"/>
      <c r="H28" s="11"/>
      <c r="I28" s="10"/>
      <c r="J28" s="10"/>
      <c r="K28" s="10"/>
      <c r="L28" s="11"/>
    </row>
    <row r="29" spans="2:12" ht="14.25" x14ac:dyDescent="0.2">
      <c r="B29" s="12" t="s">
        <v>19</v>
      </c>
      <c r="C29" s="10"/>
      <c r="D29" s="11"/>
      <c r="E29" s="10"/>
      <c r="F29" s="10"/>
      <c r="G29" s="10"/>
      <c r="H29" s="11"/>
      <c r="I29" s="10"/>
      <c r="J29" s="10"/>
      <c r="K29" s="10"/>
      <c r="L29" s="11"/>
    </row>
    <row r="30" spans="2:12" ht="14.25" x14ac:dyDescent="0.2">
      <c r="B30" s="12" t="s">
        <v>20</v>
      </c>
      <c r="C30" s="10"/>
      <c r="D30" s="11"/>
      <c r="E30" s="10"/>
      <c r="F30" s="10"/>
      <c r="G30" s="10"/>
      <c r="H30" s="11"/>
      <c r="I30" s="10"/>
      <c r="J30" s="10"/>
      <c r="K30" s="10"/>
      <c r="L30" s="11"/>
    </row>
    <row r="31" spans="2:12" ht="14.25" x14ac:dyDescent="0.2">
      <c r="B31" s="12" t="s">
        <v>21</v>
      </c>
      <c r="C31" s="10"/>
      <c r="D31" s="11"/>
      <c r="E31" s="10"/>
      <c r="F31" s="10"/>
      <c r="G31" s="10"/>
      <c r="H31" s="11"/>
      <c r="I31" s="10"/>
      <c r="J31" s="10"/>
      <c r="K31" s="10"/>
      <c r="L31" s="11"/>
    </row>
    <row r="32" spans="2:12" ht="14.25" x14ac:dyDescent="0.2">
      <c r="B32" s="12" t="s">
        <v>22</v>
      </c>
      <c r="C32" s="10"/>
      <c r="D32" s="11"/>
      <c r="E32" s="10"/>
      <c r="F32" s="10"/>
      <c r="G32" s="10"/>
      <c r="H32" s="11"/>
      <c r="I32" s="10"/>
      <c r="J32" s="10"/>
      <c r="K32" s="10"/>
      <c r="L32" s="11"/>
    </row>
    <row r="33" spans="2:12" ht="14.25" x14ac:dyDescent="0.2">
      <c r="B33" s="13"/>
      <c r="C33" s="10"/>
      <c r="D33" s="11"/>
      <c r="E33" s="10"/>
      <c r="F33" s="10"/>
      <c r="G33" s="10"/>
      <c r="H33" s="11"/>
      <c r="I33" s="10"/>
      <c r="J33" s="10"/>
      <c r="K33" s="10"/>
      <c r="L33" s="11"/>
    </row>
    <row r="34" spans="2:12" x14ac:dyDescent="0.15">
      <c r="B34" s="14" t="s">
        <v>23</v>
      </c>
      <c r="C34" s="10"/>
      <c r="D34" s="11"/>
      <c r="E34" s="10"/>
      <c r="F34" s="10"/>
      <c r="G34" s="10"/>
      <c r="H34" s="11"/>
      <c r="I34" s="10"/>
      <c r="J34" s="10"/>
      <c r="K34" s="10"/>
      <c r="L34" s="11"/>
    </row>
    <row r="35" spans="2:12" x14ac:dyDescent="0.15">
      <c r="B35" s="16" t="s">
        <v>40</v>
      </c>
      <c r="C35" s="10"/>
      <c r="D35" s="11"/>
      <c r="E35" s="10"/>
      <c r="F35" s="10"/>
      <c r="G35" s="10"/>
      <c r="H35" s="11"/>
      <c r="I35" s="10"/>
      <c r="J35" s="10"/>
      <c r="K35" s="10"/>
      <c r="L35" s="11"/>
    </row>
    <row r="36" spans="2:12" x14ac:dyDescent="0.15">
      <c r="B36" s="15" t="s">
        <v>30</v>
      </c>
      <c r="C36" s="10"/>
      <c r="D36" s="11"/>
      <c r="E36" s="10"/>
      <c r="F36" s="10"/>
      <c r="G36" s="10"/>
      <c r="H36" s="11"/>
      <c r="I36" s="10"/>
      <c r="J36" s="10"/>
      <c r="K36" s="10"/>
      <c r="L36" s="11"/>
    </row>
    <row r="37" spans="2:12" x14ac:dyDescent="0.15">
      <c r="B37" s="16" t="s">
        <v>31</v>
      </c>
      <c r="C37" s="10"/>
      <c r="D37" s="11"/>
      <c r="E37" s="10"/>
      <c r="F37" s="10"/>
      <c r="G37" s="10"/>
      <c r="H37" s="11"/>
      <c r="I37" s="10"/>
      <c r="J37" s="10"/>
      <c r="K37" s="10"/>
      <c r="L37" s="11"/>
    </row>
    <row r="38" spans="2:12" x14ac:dyDescent="0.15">
      <c r="B38" s="17" t="s">
        <v>32</v>
      </c>
      <c r="C38" s="10"/>
      <c r="D38" s="11"/>
      <c r="E38" s="10"/>
      <c r="F38" s="10"/>
      <c r="G38" s="10"/>
      <c r="H38" s="11"/>
      <c r="I38" s="10"/>
      <c r="J38" s="10"/>
      <c r="K38" s="10"/>
      <c r="L38" s="11"/>
    </row>
  </sheetData>
  <mergeCells count="6">
    <mergeCell ref="B25:L25"/>
    <mergeCell ref="B20:L20"/>
    <mergeCell ref="B21:L21"/>
    <mergeCell ref="B22:L22"/>
    <mergeCell ref="B23:L23"/>
    <mergeCell ref="B24:L24"/>
  </mergeCells>
  <phoneticPr fontId="3" type="noConversion"/>
  <pageMargins left="0.7" right="0.7" top="0.75" bottom="0.75" header="0.3" footer="0.3"/>
  <pageSetup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R1"/>
  <sheetViews>
    <sheetView topLeftCell="D1" workbookViewId="0">
      <pane ySplit="1" topLeftCell="A2" activePane="bottomLeft" state="frozen"/>
      <selection activeCell="D1" sqref="D1"/>
      <selection pane="bottomLeft" activeCell="A2" sqref="A2:XFD1048576"/>
    </sheetView>
  </sheetViews>
  <sheetFormatPr defaultRowHeight="13.5" x14ac:dyDescent="0.15"/>
  <cols>
    <col min="1" max="1" width="11.625" hidden="1" customWidth="1"/>
    <col min="2" max="2" width="10.25" hidden="1" customWidth="1"/>
    <col min="3" max="3" width="7.375" hidden="1" customWidth="1"/>
    <col min="4" max="5" width="8.375" customWidth="1"/>
    <col min="6" max="6" width="10.75" customWidth="1"/>
    <col min="7" max="7" width="15.375" style="1" customWidth="1"/>
    <col min="8" max="8" width="15.375" style="36" customWidth="1"/>
    <col min="9" max="11" width="15.375" style="1" customWidth="1"/>
  </cols>
  <sheetData>
    <row r="1" spans="1:18" ht="64.5" thickTop="1" x14ac:dyDescent="0.15">
      <c r="A1" s="34" t="s">
        <v>77</v>
      </c>
      <c r="B1" s="35" t="s">
        <v>78</v>
      </c>
      <c r="C1" s="35" t="s">
        <v>79</v>
      </c>
      <c r="D1" s="45" t="s">
        <v>27</v>
      </c>
      <c r="E1" s="45" t="s">
        <v>1</v>
      </c>
      <c r="F1" s="45" t="s">
        <v>2</v>
      </c>
      <c r="G1" s="29" t="s">
        <v>89</v>
      </c>
      <c r="H1" s="29" t="s">
        <v>88</v>
      </c>
      <c r="I1" s="29" t="s">
        <v>80</v>
      </c>
      <c r="J1" s="29" t="s">
        <v>81</v>
      </c>
      <c r="K1" s="37" t="s">
        <v>82</v>
      </c>
      <c r="L1" s="58"/>
      <c r="Q1" s="46"/>
      <c r="R1" s="2"/>
    </row>
  </sheetData>
  <autoFilter ref="A1:M1" xr:uid="{00000000-0009-0000-0000-000001000000}">
    <sortState xmlns:xlrd2="http://schemas.microsoft.com/office/spreadsheetml/2017/richdata2" ref="A2:M312">
      <sortCondition ref="D1"/>
    </sortState>
  </autoFilter>
  <dataConsolidate/>
  <phoneticPr fontId="3" type="noConversion"/>
  <conditionalFormatting sqref="AB1:AC1 W1">
    <cfRule type="cellIs" dxfId="5" priority="15" operator="greaterThan">
      <formula>0.045</formula>
    </cfRule>
  </conditionalFormatting>
  <conditionalFormatting sqref="X1">
    <cfRule type="cellIs" dxfId="4" priority="14" operator="greaterThan">
      <formula>0.028</formula>
    </cfRule>
  </conditionalFormatting>
  <conditionalFormatting sqref="Y1:AA1">
    <cfRule type="cellIs" dxfId="3" priority="13" operator="greaterThan">
      <formula>0.019</formula>
    </cfRule>
  </conditionalFormatting>
  <conditionalFormatting sqref="Z1:AA1">
    <cfRule type="cellIs" dxfId="2" priority="12" operator="greaterThan">
      <formula>0.018</formula>
    </cfRule>
  </conditionalFormatting>
  <conditionalFormatting sqref="AB1">
    <cfRule type="cellIs" dxfId="1" priority="11" operator="greaterThan">
      <formula>0.026</formula>
    </cfRule>
  </conditionalFormatting>
  <conditionalFormatting sqref="AC1">
    <cfRule type="cellIs" dxfId="0" priority="10" operator="greaterThan">
      <formula>0.021</formula>
    </cfRule>
  </conditionalFormatting>
  <pageMargins left="0.7" right="0.7" top="0.75" bottom="0.75" header="0.3" footer="0.3"/>
  <pageSetup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O1"/>
  <sheetViews>
    <sheetView workbookViewId="0">
      <pane ySplit="1" topLeftCell="A2" activePane="bottomLeft" state="frozen"/>
      <selection activeCell="E1" sqref="E1"/>
      <selection pane="bottomLeft" activeCell="A2" sqref="A2:XFD1048576"/>
    </sheetView>
  </sheetViews>
  <sheetFormatPr defaultRowHeight="13.5" x14ac:dyDescent="0.15"/>
  <cols>
    <col min="1" max="1" width="6.75" style="33" hidden="1" customWidth="1"/>
    <col min="2" max="2" width="10" style="33" hidden="1" customWidth="1"/>
    <col min="3" max="3" width="9.625" style="33" hidden="1" customWidth="1"/>
    <col min="4" max="4" width="17.125" style="33" hidden="1" customWidth="1"/>
    <col min="5" max="6" width="9" style="42" customWidth="1"/>
    <col min="7" max="7" width="13" style="42" customWidth="1"/>
    <col min="8" max="9" width="9" style="42" customWidth="1"/>
    <col min="10" max="14" width="16.375" style="42" customWidth="1"/>
    <col min="15" max="15" width="9" style="42"/>
    <col min="19" max="19" width="9" customWidth="1"/>
  </cols>
  <sheetData>
    <row r="1" spans="1:14" ht="64.5" thickTop="1" x14ac:dyDescent="0.15">
      <c r="A1" s="39" t="s">
        <v>4</v>
      </c>
      <c r="B1" s="40" t="s">
        <v>5</v>
      </c>
      <c r="C1" s="40" t="s">
        <v>6</v>
      </c>
      <c r="D1" s="40" t="s">
        <v>7</v>
      </c>
      <c r="E1" s="44" t="s">
        <v>0</v>
      </c>
      <c r="F1" s="44" t="s">
        <v>1</v>
      </c>
      <c r="G1" s="44" t="s">
        <v>42</v>
      </c>
      <c r="H1" s="44" t="s">
        <v>2</v>
      </c>
      <c r="I1" s="41" t="s">
        <v>3</v>
      </c>
      <c r="J1" s="29" t="s">
        <v>83</v>
      </c>
      <c r="K1" s="29" t="s">
        <v>84</v>
      </c>
      <c r="L1" s="29" t="s">
        <v>85</v>
      </c>
      <c r="M1" s="29" t="s">
        <v>86</v>
      </c>
      <c r="N1" s="37" t="s">
        <v>87</v>
      </c>
    </row>
  </sheetData>
  <autoFilter ref="A1:S1" xr:uid="{00000000-0009-0000-0000-000002000000}">
    <sortState xmlns:xlrd2="http://schemas.microsoft.com/office/spreadsheetml/2017/richdata2" ref="A2:O4876">
      <sortCondition ref="E1"/>
    </sortState>
  </autoFilter>
  <phoneticPr fontId="3" type="noConversion"/>
  <pageMargins left="0.7" right="0.7" top="0.75" bottom="0.75" header="0.3" footer="0.3"/>
  <pageSetup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autoPageBreaks="0"/>
  </sheetPr>
  <dimension ref="A1:GA4"/>
  <sheetViews>
    <sheetView workbookViewId="0">
      <selection activeCell="A5" sqref="A5:XFD1048576"/>
    </sheetView>
  </sheetViews>
  <sheetFormatPr defaultRowHeight="13.5" x14ac:dyDescent="0.15"/>
  <cols>
    <col min="3" max="3" width="16.25" customWidth="1"/>
    <col min="4" max="4" width="20.875" customWidth="1"/>
    <col min="5" max="5" width="16" customWidth="1"/>
    <col min="14" max="14" width="9" style="38"/>
  </cols>
  <sheetData>
    <row r="1" spans="1:183" s="38" customFormat="1" ht="15.95" customHeight="1" x14ac:dyDescent="0.2">
      <c r="A1" s="61" t="s">
        <v>46</v>
      </c>
      <c r="B1" s="62"/>
      <c r="C1" s="62"/>
      <c r="D1" s="62"/>
      <c r="E1" s="62"/>
      <c r="F1" s="65" t="s">
        <v>90</v>
      </c>
      <c r="G1" s="65"/>
      <c r="H1" s="65"/>
      <c r="I1" s="66"/>
      <c r="J1" s="67" t="s">
        <v>91</v>
      </c>
      <c r="K1" s="67"/>
      <c r="L1" s="67"/>
      <c r="M1" s="67"/>
      <c r="N1" s="67"/>
      <c r="O1" s="67"/>
      <c r="P1" s="67"/>
      <c r="Q1" s="68"/>
      <c r="R1" s="73" t="s">
        <v>47</v>
      </c>
      <c r="S1" s="74"/>
      <c r="T1" s="74"/>
      <c r="U1" s="74"/>
      <c r="V1" s="74"/>
      <c r="W1" s="74"/>
      <c r="X1" s="74"/>
      <c r="Y1" s="74"/>
      <c r="Z1" s="74"/>
      <c r="AA1" s="75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8"/>
      <c r="FN1" s="48"/>
      <c r="FO1" s="48"/>
      <c r="FP1" s="48"/>
      <c r="FQ1" s="48"/>
      <c r="FR1" s="48"/>
      <c r="FS1" s="48"/>
      <c r="FT1" s="48"/>
      <c r="FU1" s="48"/>
      <c r="FV1" s="48"/>
      <c r="FW1" s="48"/>
      <c r="FX1" s="48"/>
      <c r="FY1" s="48"/>
      <c r="FZ1" s="48"/>
      <c r="GA1" s="48"/>
    </row>
    <row r="2" spans="1:183" s="38" customFormat="1" ht="26.25" customHeight="1" x14ac:dyDescent="0.2">
      <c r="A2" s="63"/>
      <c r="B2" s="64"/>
      <c r="C2" s="64"/>
      <c r="D2" s="64"/>
      <c r="E2" s="64"/>
      <c r="F2" s="72" t="s">
        <v>48</v>
      </c>
      <c r="G2" s="66"/>
      <c r="H2" s="72" t="s">
        <v>49</v>
      </c>
      <c r="I2" s="66"/>
      <c r="J2" s="69" t="s">
        <v>48</v>
      </c>
      <c r="K2" s="70"/>
      <c r="L2" s="70"/>
      <c r="M2" s="70"/>
      <c r="N2" s="70"/>
      <c r="O2" s="70"/>
      <c r="P2" s="70"/>
      <c r="Q2" s="71"/>
      <c r="R2" s="76" t="s">
        <v>39</v>
      </c>
      <c r="S2" s="77"/>
      <c r="T2" s="76" t="s">
        <v>33</v>
      </c>
      <c r="U2" s="77"/>
      <c r="V2" s="76" t="s">
        <v>34</v>
      </c>
      <c r="W2" s="77"/>
      <c r="X2" s="76" t="s">
        <v>35</v>
      </c>
      <c r="Y2" s="77"/>
      <c r="Z2" s="76" t="s">
        <v>36</v>
      </c>
      <c r="AA2" s="77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</row>
    <row r="3" spans="1:183" s="38" customFormat="1" ht="24" customHeight="1" x14ac:dyDescent="0.2">
      <c r="A3" s="49" t="s">
        <v>50</v>
      </c>
      <c r="B3" s="49" t="s">
        <v>51</v>
      </c>
      <c r="C3" s="47" t="s">
        <v>15</v>
      </c>
      <c r="D3" s="50" t="s">
        <v>52</v>
      </c>
      <c r="E3" s="51" t="s">
        <v>53</v>
      </c>
      <c r="F3" s="52" t="s">
        <v>54</v>
      </c>
      <c r="G3" s="52" t="s">
        <v>55</v>
      </c>
      <c r="H3" s="53" t="s">
        <v>56</v>
      </c>
      <c r="I3" s="52" t="s">
        <v>55</v>
      </c>
      <c r="J3" s="54" t="s">
        <v>57</v>
      </c>
      <c r="K3" s="54" t="s">
        <v>58</v>
      </c>
      <c r="L3" s="54" t="s">
        <v>59</v>
      </c>
      <c r="M3" s="54" t="s">
        <v>92</v>
      </c>
      <c r="N3" s="54" t="s">
        <v>93</v>
      </c>
      <c r="O3" s="54" t="s">
        <v>60</v>
      </c>
      <c r="P3" s="54" t="s">
        <v>61</v>
      </c>
      <c r="Q3" s="54" t="s">
        <v>62</v>
      </c>
      <c r="R3" s="59" t="s">
        <v>94</v>
      </c>
      <c r="S3" s="59" t="s">
        <v>64</v>
      </c>
      <c r="T3" s="59" t="s">
        <v>63</v>
      </c>
      <c r="U3" s="59" t="s">
        <v>64</v>
      </c>
      <c r="V3" s="59" t="s">
        <v>63</v>
      </c>
      <c r="W3" s="59" t="s">
        <v>64</v>
      </c>
      <c r="X3" s="59" t="s">
        <v>63</v>
      </c>
      <c r="Y3" s="59" t="s">
        <v>64</v>
      </c>
      <c r="Z3" s="59" t="s">
        <v>63</v>
      </c>
      <c r="AA3" s="59" t="s">
        <v>64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  <c r="DO3" s="56"/>
      <c r="DP3" s="56"/>
      <c r="DQ3" s="56"/>
      <c r="DR3" s="56"/>
      <c r="DS3" s="56"/>
      <c r="DT3" s="56"/>
      <c r="DU3" s="56"/>
      <c r="DV3" s="56"/>
      <c r="DW3" s="56"/>
      <c r="DX3" s="56"/>
      <c r="DY3" s="56"/>
      <c r="DZ3" s="56"/>
      <c r="EA3" s="56"/>
      <c r="EB3" s="56"/>
      <c r="EC3" s="56"/>
      <c r="ED3" s="56"/>
      <c r="EE3" s="56"/>
      <c r="EF3" s="56"/>
      <c r="EG3" s="56"/>
      <c r="EH3" s="56"/>
      <c r="EI3" s="56"/>
      <c r="EJ3" s="56"/>
      <c r="EK3" s="56"/>
      <c r="EL3" s="56"/>
      <c r="EM3" s="56"/>
      <c r="EN3" s="56"/>
      <c r="EO3" s="56"/>
      <c r="EP3" s="56"/>
      <c r="EQ3" s="56"/>
      <c r="ER3" s="56"/>
      <c r="ES3" s="56"/>
      <c r="ET3" s="56"/>
      <c r="EU3" s="56"/>
      <c r="EV3" s="56"/>
      <c r="EW3" s="56"/>
      <c r="EX3" s="56"/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6"/>
      <c r="GA3" s="56"/>
    </row>
    <row r="4" spans="1:183" s="38" customFormat="1" ht="21" customHeight="1" x14ac:dyDescent="0.2">
      <c r="A4" s="49" t="s">
        <v>28</v>
      </c>
      <c r="B4" s="49" t="s">
        <v>10</v>
      </c>
      <c r="C4" s="47" t="s">
        <v>15</v>
      </c>
      <c r="D4" s="50" t="s">
        <v>65</v>
      </c>
      <c r="E4" s="51" t="s">
        <v>66</v>
      </c>
      <c r="F4" s="52" t="s">
        <v>67</v>
      </c>
      <c r="G4" s="52" t="s">
        <v>68</v>
      </c>
      <c r="H4" s="53" t="s">
        <v>67</v>
      </c>
      <c r="I4" s="52" t="s">
        <v>68</v>
      </c>
      <c r="J4" s="57" t="s">
        <v>69</v>
      </c>
      <c r="K4" s="57" t="s">
        <v>70</v>
      </c>
      <c r="L4" s="57" t="s">
        <v>71</v>
      </c>
      <c r="M4" s="57" t="s">
        <v>72</v>
      </c>
      <c r="N4" s="57"/>
      <c r="O4" s="57" t="s">
        <v>73</v>
      </c>
      <c r="P4" s="57" t="s">
        <v>74</v>
      </c>
      <c r="Q4" s="57" t="s">
        <v>75</v>
      </c>
      <c r="R4" s="55" t="s">
        <v>39</v>
      </c>
      <c r="S4" s="55" t="s">
        <v>76</v>
      </c>
      <c r="T4" s="55" t="s">
        <v>33</v>
      </c>
      <c r="U4" s="55" t="s">
        <v>76</v>
      </c>
      <c r="V4" s="55" t="s">
        <v>34</v>
      </c>
      <c r="W4" s="55" t="s">
        <v>76</v>
      </c>
      <c r="X4" s="55" t="s">
        <v>35</v>
      </c>
      <c r="Y4" s="55" t="s">
        <v>76</v>
      </c>
      <c r="Z4" s="55" t="s">
        <v>36</v>
      </c>
      <c r="AA4" s="55" t="s">
        <v>76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</row>
  </sheetData>
  <mergeCells count="12">
    <mergeCell ref="R1:AA1"/>
    <mergeCell ref="Z2:AA2"/>
    <mergeCell ref="R2:S2"/>
    <mergeCell ref="T2:U2"/>
    <mergeCell ref="V2:W2"/>
    <mergeCell ref="X2:Y2"/>
    <mergeCell ref="A1:E2"/>
    <mergeCell ref="F1:I1"/>
    <mergeCell ref="J1:Q1"/>
    <mergeCell ref="J2:Q2"/>
    <mergeCell ref="F2:G2"/>
    <mergeCell ref="H2:I2"/>
  </mergeCells>
  <phoneticPr fontId="3" type="noConversion"/>
  <pageMargins left="0.7" right="0.7" top="0.75" bottom="0.75" header="0.3" footer="0.3"/>
  <pageSetup paperSize="9"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autoPageBreaks="0"/>
  </sheetPr>
  <dimension ref="A1:O2"/>
  <sheetViews>
    <sheetView workbookViewId="0">
      <pane ySplit="2" topLeftCell="A3" activePane="bottomLeft" state="frozen"/>
      <selection pane="bottomLeft" activeCell="A3" sqref="A3:XFD1048576"/>
    </sheetView>
  </sheetViews>
  <sheetFormatPr defaultRowHeight="13.5" x14ac:dyDescent="0.15"/>
  <cols>
    <col min="3" max="3" width="13" customWidth="1"/>
    <col min="4" max="4" width="13.375" customWidth="1"/>
    <col min="5" max="5" width="11.125" style="38" customWidth="1"/>
  </cols>
  <sheetData>
    <row r="1" spans="1:15" ht="21.75" customHeight="1" thickTop="1" x14ac:dyDescent="0.15">
      <c r="A1" s="80" t="s">
        <v>44</v>
      </c>
      <c r="B1" s="82" t="s">
        <v>1</v>
      </c>
      <c r="C1" s="82" t="s">
        <v>41</v>
      </c>
      <c r="D1" s="82" t="s">
        <v>43</v>
      </c>
      <c r="E1" s="82" t="s">
        <v>45</v>
      </c>
      <c r="F1" s="78" t="s">
        <v>39</v>
      </c>
      <c r="G1" s="84"/>
      <c r="H1" s="78" t="s">
        <v>33</v>
      </c>
      <c r="I1" s="84"/>
      <c r="J1" s="78" t="s">
        <v>34</v>
      </c>
      <c r="K1" s="84"/>
      <c r="L1" s="78" t="s">
        <v>35</v>
      </c>
      <c r="M1" s="84"/>
      <c r="N1" s="78" t="s">
        <v>36</v>
      </c>
      <c r="O1" s="79"/>
    </row>
    <row r="2" spans="1:15" ht="39.75" customHeight="1" x14ac:dyDescent="0.15">
      <c r="A2" s="81"/>
      <c r="B2" s="83"/>
      <c r="C2" s="83"/>
      <c r="D2" s="83"/>
      <c r="E2" s="83"/>
      <c r="F2" s="47" t="s">
        <v>37</v>
      </c>
      <c r="G2" s="47" t="s">
        <v>38</v>
      </c>
      <c r="H2" s="47" t="s">
        <v>37</v>
      </c>
      <c r="I2" s="47" t="s">
        <v>38</v>
      </c>
      <c r="J2" s="47" t="s">
        <v>37</v>
      </c>
      <c r="K2" s="47" t="s">
        <v>38</v>
      </c>
      <c r="L2" s="47" t="s">
        <v>37</v>
      </c>
      <c r="M2" s="47" t="s">
        <v>38</v>
      </c>
      <c r="N2" s="47" t="s">
        <v>37</v>
      </c>
      <c r="O2" s="43" t="s">
        <v>38</v>
      </c>
    </row>
  </sheetData>
  <autoFilter ref="A2:O2" xr:uid="{00000000-0009-0000-0000-000004000000}">
    <sortState xmlns:xlrd2="http://schemas.microsoft.com/office/spreadsheetml/2017/richdata2" ref="A4:O71800">
      <sortCondition ref="A2"/>
    </sortState>
  </autoFilter>
  <mergeCells count="10">
    <mergeCell ref="N1:O1"/>
    <mergeCell ref="A1:A2"/>
    <mergeCell ref="B1:B2"/>
    <mergeCell ref="C1:C2"/>
    <mergeCell ref="D1:D2"/>
    <mergeCell ref="F1:G1"/>
    <mergeCell ref="H1:I1"/>
    <mergeCell ref="J1:K1"/>
    <mergeCell ref="L1:M1"/>
    <mergeCell ref="E1:E2"/>
  </mergeCells>
  <phoneticPr fontId="3" type="noConversion"/>
  <pageMargins left="0.7" right="0.7" top="0.75" bottom="0.75" header="0.3" footer="0.3"/>
  <pageSetup paperSize="9"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autoPageBreaks="0"/>
  </sheetPr>
  <dimension ref="A1:O2"/>
  <sheetViews>
    <sheetView tabSelected="1" workbookViewId="0">
      <selection activeCell="A3" sqref="A3:XFD1048576"/>
    </sheetView>
  </sheetViews>
  <sheetFormatPr defaultRowHeight="13.5" x14ac:dyDescent="0.15"/>
  <sheetData>
    <row r="1" spans="1:15" s="38" customFormat="1" ht="21.75" customHeight="1" thickTop="1" x14ac:dyDescent="0.15">
      <c r="A1" s="80" t="s">
        <v>44</v>
      </c>
      <c r="B1" s="82" t="s">
        <v>1</v>
      </c>
      <c r="C1" s="82" t="s">
        <v>41</v>
      </c>
      <c r="D1" s="82" t="s">
        <v>43</v>
      </c>
      <c r="E1" s="82" t="s">
        <v>45</v>
      </c>
      <c r="F1" s="78" t="s">
        <v>39</v>
      </c>
      <c r="G1" s="84"/>
      <c r="H1" s="78" t="s">
        <v>33</v>
      </c>
      <c r="I1" s="84"/>
      <c r="J1" s="78" t="s">
        <v>34</v>
      </c>
      <c r="K1" s="84"/>
      <c r="L1" s="78" t="s">
        <v>35</v>
      </c>
      <c r="M1" s="84"/>
      <c r="N1" s="78" t="s">
        <v>36</v>
      </c>
      <c r="O1" s="79"/>
    </row>
    <row r="2" spans="1:15" s="38" customFormat="1" ht="39.75" customHeight="1" x14ac:dyDescent="0.15">
      <c r="A2" s="81"/>
      <c r="B2" s="83"/>
      <c r="C2" s="83"/>
      <c r="D2" s="83"/>
      <c r="E2" s="83"/>
      <c r="F2" s="47" t="s">
        <v>37</v>
      </c>
      <c r="G2" s="47" t="s">
        <v>38</v>
      </c>
      <c r="H2" s="47" t="s">
        <v>37</v>
      </c>
      <c r="I2" s="47" t="s">
        <v>38</v>
      </c>
      <c r="J2" s="47" t="s">
        <v>37</v>
      </c>
      <c r="K2" s="47" t="s">
        <v>38</v>
      </c>
      <c r="L2" s="47" t="s">
        <v>37</v>
      </c>
      <c r="M2" s="47" t="s">
        <v>38</v>
      </c>
      <c r="N2" s="47" t="s">
        <v>37</v>
      </c>
      <c r="O2" s="43" t="s">
        <v>38</v>
      </c>
    </row>
  </sheetData>
  <autoFilter ref="A2:O2" xr:uid="{00000000-0009-0000-0000-000005000000}"/>
  <mergeCells count="10">
    <mergeCell ref="H1:I1"/>
    <mergeCell ref="J1:K1"/>
    <mergeCell ref="L1:M1"/>
    <mergeCell ref="N1:O1"/>
    <mergeCell ref="A1:A2"/>
    <mergeCell ref="B1:B2"/>
    <mergeCell ref="C1:C2"/>
    <mergeCell ref="D1:D2"/>
    <mergeCell ref="E1:E2"/>
    <mergeCell ref="F1:G1"/>
  </mergeCells>
  <phoneticPr fontId="3" type="noConversion"/>
  <pageMargins left="0.7" right="0.7" top="0.75" bottom="0.75" header="0.3" footer="0.3"/>
  <pageSetup paperSize="9" orientation="portrait" r:id="rId1"/>
  <headerFooter>
    <oddFooter>&amp;L&amp;"Calibri,Regular"&amp;11&amp;K000000Document classification is &amp;B&amp;K000000Internal.&amp;B&amp;K000000 Do not distribute to third parties without approval.</oddFooter>
    <evenFooter>&amp;L&amp;"Calibri,Regular"&amp;11&amp;K000000Document classification is &amp;B&amp;K000000Internal.&amp;B&amp;K000000 Do not distribute to third parties without approval.</evenFooter>
    <firstFooter>&amp;L&amp;"Calibri,Regular"&amp;11&amp;K000000Document classification is &amp;B&amp;K000000Internal.&amp;B&amp;K000000 Do not distribute to third parties without approval.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695c2824-7032-4a7f-a3c9-7c530b99adfb" origin="userSelected">
  <element uid="id_classification_generalbusiness" value=""/>
</sisl>
</file>

<file path=customXml/itemProps1.xml><?xml version="1.0" encoding="utf-8"?>
<ds:datastoreItem xmlns:ds="http://schemas.openxmlformats.org/officeDocument/2006/customXml" ds:itemID="{ADE04CC8-B0AF-4637-84C9-19A1470DC7EE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City</vt:lpstr>
      <vt:lpstr>DSM</vt:lpstr>
      <vt:lpstr>POS</vt:lpstr>
      <vt:lpstr>SA</vt:lpstr>
      <vt:lpstr>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2020-11-19T04:18:08Z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183187d4-f23c-4597-acb7-3f8cd02c9736</vt:lpwstr>
  </property>
  <property fmtid="{D5CDD505-2E9C-101B-9397-08002B2CF9AE}" pid="3" name="bjSaver">
    <vt:lpwstr>CftyjRnAc1OmLhEu4TgSPpWlCigt/fTi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policy="695c2824-7032-4a7f-a3c9-7c530b99adfb" origin="userSelected" xmlns="http://www.boldonj</vt:lpwstr>
  </property>
  <property fmtid="{D5CDD505-2E9C-101B-9397-08002B2CF9AE}" pid="5" name="bjDocumentLabelXML-0">
    <vt:lpwstr>ames.com/2008/01/sie/internal/label"&gt;&lt;element uid="id_classification_generalbusiness" value="" /&gt;&lt;/sisl&gt;</vt:lpwstr>
  </property>
  <property fmtid="{D5CDD505-2E9C-101B-9397-08002B2CF9AE}" pid="6" name="bjDocumentSecurityLabel">
    <vt:lpwstr>Internal</vt:lpwstr>
  </property>
  <property fmtid="{D5CDD505-2E9C-101B-9397-08002B2CF9AE}" pid="7" name="bjLeftFooterLabel-first">
    <vt:lpwstr>&amp;"Calibri,Regular"&amp;11&amp;K000000Document classification is &amp;B&amp;K000000Internal.&amp;B&amp;K000000 Do not distribute to third parties without approval.</vt:lpwstr>
  </property>
  <property fmtid="{D5CDD505-2E9C-101B-9397-08002B2CF9AE}" pid="8" name="bjLeftFooterLabel-even">
    <vt:lpwstr>&amp;"Calibri,Regular"&amp;11&amp;K000000Document classification is &amp;B&amp;K000000Internal.&amp;B&amp;K000000 Do not distribute to third parties without approval.</vt:lpwstr>
  </property>
  <property fmtid="{D5CDD505-2E9C-101B-9397-08002B2CF9AE}" pid="9" name="bjLeftFooterLabel">
    <vt:lpwstr>&amp;"Calibri,Regular"&amp;11&amp;K000000Document classification is &amp;B&amp;K000000Internal.&amp;B&amp;K000000 Do not distribute to third parties without approval.</vt:lpwstr>
  </property>
  <property fmtid="{D5CDD505-2E9C-101B-9397-08002B2CF9AE}" pid="10" name="WorkbookGuid">
    <vt:lpwstr>88b21fcb-871a-4de8-9917-2609b56b7e6e</vt:lpwstr>
  </property>
</Properties>
</file>